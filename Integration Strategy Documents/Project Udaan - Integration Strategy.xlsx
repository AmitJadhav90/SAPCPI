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mit Jadhav\Desktop\IHCL\"/>
    </mc:Choice>
  </mc:AlternateContent>
  <xr:revisionPtr revIDLastSave="0" documentId="13_ncr:1_{5F53C86F-7833-4600-95E3-77E9850ECFB1}" xr6:coauthVersionLast="47" xr6:coauthVersionMax="47" xr10:uidLastSave="{00000000-0000-0000-0000-000000000000}"/>
  <bookViews>
    <workbookView xWindow="-110" yWindow="-110" windowWidth="19420" windowHeight="10300" firstSheet="1" activeTab="1" xr2:uid="{0F010B64-3FD2-4BAD-96E3-02D0AFBEB5D4}"/>
  </bookViews>
  <sheets>
    <sheet name="Majoduck_SK_1" sheetId="6" state="veryHidden" r:id="rId1"/>
    <sheet name="A2A Integrations-Interfaces" sheetId="13" r:id="rId2"/>
  </sheets>
  <externalReferences>
    <externalReference r:id="rId3"/>
  </externalReferences>
  <definedNames>
    <definedName name="_xlnm._FilterDatabase" localSheetId="1" hidden="1">'A2A Integrations-Interfaces'!$B$2:$P$56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13" l="1"/>
  <c r="P55" i="13"/>
  <c r="P54" i="13"/>
  <c r="P53" i="13"/>
  <c r="P52" i="13"/>
  <c r="P51" i="13"/>
  <c r="P50" i="13"/>
  <c r="P49" i="13"/>
  <c r="B4" i="13" l="1"/>
  <c r="B5" i="13" s="1"/>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P48" i="13" l="1"/>
  <c r="P47" i="13"/>
  <c r="P46" i="13"/>
  <c r="P45" i="13"/>
  <c r="P44" i="13"/>
  <c r="P43" i="13"/>
  <c r="P42" i="13"/>
  <c r="P41" i="13"/>
  <c r="P40" i="13"/>
  <c r="P39" i="13"/>
  <c r="P38" i="13"/>
  <c r="P37" i="13"/>
  <c r="P36" i="13"/>
  <c r="P35" i="13"/>
  <c r="P34" i="13"/>
  <c r="P33" i="13"/>
  <c r="P32" i="13"/>
  <c r="P31" i="13"/>
  <c r="P30" i="13"/>
  <c r="P29" i="13"/>
  <c r="P28" i="13"/>
  <c r="P27" i="13"/>
  <c r="P26" i="13"/>
  <c r="P25" i="13"/>
  <c r="P24" i="13"/>
  <c r="P23" i="13"/>
  <c r="P22" i="13"/>
  <c r="P21" i="13"/>
  <c r="P20" i="13"/>
  <c r="P19" i="13"/>
  <c r="P18" i="13"/>
  <c r="P17" i="13"/>
  <c r="P16" i="13"/>
  <c r="P15" i="13"/>
  <c r="P14" i="13"/>
  <c r="P13" i="13"/>
  <c r="P12" i="13"/>
  <c r="P11" i="13"/>
  <c r="P10" i="13"/>
  <c r="P9" i="13"/>
  <c r="P8" i="13"/>
  <c r="P7" i="13"/>
  <c r="P6" i="13"/>
  <c r="P5" i="13"/>
  <c r="P4" i="13"/>
  <c r="P3" i="13"/>
</calcChain>
</file>

<file path=xl/sharedStrings.xml><?xml version="1.0" encoding="utf-8"?>
<sst xmlns="http://schemas.openxmlformats.org/spreadsheetml/2006/main" count="570" uniqueCount="236">
  <si>
    <t>Sr. No.</t>
  </si>
  <si>
    <t>Business Area</t>
  </si>
  <si>
    <t>Process Group (L1)</t>
  </si>
  <si>
    <t>Process Scenario (L2)</t>
  </si>
  <si>
    <t>Business Scenario (L3)</t>
  </si>
  <si>
    <t>Integration Requirements</t>
  </si>
  <si>
    <t>Finance</t>
  </si>
  <si>
    <t>Record to Report</t>
  </si>
  <si>
    <t>Period end close</t>
  </si>
  <si>
    <t>Intercompany</t>
  </si>
  <si>
    <t>Master Data</t>
  </si>
  <si>
    <t>Master Data Management (customer)</t>
  </si>
  <si>
    <t>Invoice to Pay</t>
  </si>
  <si>
    <t>Invoice Receipt</t>
  </si>
  <si>
    <t>Invoice Processing</t>
  </si>
  <si>
    <t>All category of invoices</t>
  </si>
  <si>
    <t>Payment Processing</t>
  </si>
  <si>
    <t>Bill to Cash</t>
  </si>
  <si>
    <t>Credit Limit Management</t>
  </si>
  <si>
    <t>Permanent credit limit and temporary credit limit</t>
  </si>
  <si>
    <t>SAP Credit Limit data to flow to Bolton for consolidation with Prologic data</t>
  </si>
  <si>
    <t>Billing</t>
  </si>
  <si>
    <t>E-invoice generation</t>
  </si>
  <si>
    <t>Revenue Accounting</t>
  </si>
  <si>
    <t>Cash Application</t>
  </si>
  <si>
    <t>All category of collections and cash applications</t>
  </si>
  <si>
    <t>Receiving MT940 from Bank and sharing payment files to Bank</t>
  </si>
  <si>
    <t>Travel Agents</t>
  </si>
  <si>
    <t>Procurement</t>
  </si>
  <si>
    <t>Source to Contract</t>
  </si>
  <si>
    <t>Contract Management</t>
  </si>
  <si>
    <t>Contract Creation</t>
  </si>
  <si>
    <t>SAP ARIBA</t>
  </si>
  <si>
    <t>Vendor Management</t>
  </si>
  <si>
    <t>Query / compliant management</t>
  </si>
  <si>
    <t>Category Management</t>
  </si>
  <si>
    <t>Category Analysis</t>
  </si>
  <si>
    <t>SAP Ariba Category Management
Integration with third-party sources for market analysis</t>
  </si>
  <si>
    <t>Vendor Master</t>
  </si>
  <si>
    <t>Vendor Onboarding</t>
  </si>
  <si>
    <t>Consolidated list of Integrations</t>
  </si>
  <si>
    <t>SAP-S4</t>
  </si>
  <si>
    <t>Remarks</t>
  </si>
  <si>
    <t>SAP-BPM, not available</t>
  </si>
  <si>
    <t>Creation / Amendment / Change, 
Governance</t>
  </si>
  <si>
    <t>SAP-VIM</t>
  </si>
  <si>
    <t>Digital invoices, 
Handwritten invoices</t>
  </si>
  <si>
    <t>Central mailbox - Outlook with VIM,
NA</t>
  </si>
  <si>
    <t>EXT-GST Portal</t>
  </si>
  <si>
    <t>EXT-Prologic</t>
  </si>
  <si>
    <t>Integration required from SAP MDG with CDM &amp; from CDM to other upstream systems (POS, Spa, SNC Banquet bookings, Reservation system and PMS)
Key Data - Name, Type (Registered, Unregistered, SEZ, Travel Agent), PAN, GSTN, IATA, City, Address</t>
  </si>
  <si>
    <t>To sync CDM master with SAP Customer master
CDM Account Number, Name, Type (Registered, Unregistered, SEZ, Travel Agent), PAN, GSTN, IATA, City, Address</t>
  </si>
  <si>
    <t>Real Time</t>
  </si>
  <si>
    <t>Day-End Batch</t>
  </si>
  <si>
    <t>Credit Utilization Computation</t>
  </si>
  <si>
    <t>EXT-PMS/POS</t>
  </si>
  <si>
    <t>Day-End Flat file</t>
  </si>
  <si>
    <t>EXT-PMS.GST Cloud</t>
  </si>
  <si>
    <t>EXT-PMS.GST Onprem</t>
  </si>
  <si>
    <t>EXT-POS.GST</t>
  </si>
  <si>
    <t>Revenue Accounting – PMS</t>
  </si>
  <si>
    <t>Revenue Accounting – POS</t>
  </si>
  <si>
    <t>Guest Ledger / Unbilled Revenue</t>
  </si>
  <si>
    <t>EXT-PMS.OSO</t>
  </si>
  <si>
    <t>EXT-PMS(RV/ST)</t>
  </si>
  <si>
    <t>EXT-POS(RV/ST)</t>
  </si>
  <si>
    <t>EXT-TA website</t>
  </si>
  <si>
    <t>EXT-Banks(Rec)</t>
  </si>
  <si>
    <t>Existing Integration</t>
  </si>
  <si>
    <t>Epicure</t>
  </si>
  <si>
    <t>MIS reporting from PBCS</t>
  </si>
  <si>
    <t>Integrating trial balance data from units to PBCS</t>
  </si>
  <si>
    <t>Trial balance from SAP-S4/Hana, Non SAP units into PBCS</t>
  </si>
  <si>
    <t>EXT-PBCS</t>
  </si>
  <si>
    <t>Dispatch of Invoice to Customers</t>
  </si>
  <si>
    <t>Archiving Invoices and supporting documents</t>
  </si>
  <si>
    <t>Auto dispatch  E-invoice, Guest signed supporting invoices from PMS/POS, BTC letter to be sent via email to booker/ Company bill to addresses</t>
  </si>
  <si>
    <t>EXT-DMS(Invoice)</t>
  </si>
  <si>
    <t>Outlook email services</t>
  </si>
  <si>
    <t>SAP-DCS</t>
  </si>
  <si>
    <t>SAP Credit Limit data to flow to Bolton for consolidation with Prologic data
Send Utilization to source system
CDM Account Number, Name, Available Credit Limit, Credit Utilization</t>
  </si>
  <si>
    <t>Collate E-invoice, Guest signed supporting invoices from PMS/POS into DMS system with feature to upload BTC letter and cover letters etc. vide Invoice number reference
SAP S/4 HANA to DMS, repository of all signed supporting documents</t>
  </si>
  <si>
    <t>After night audit line level unbilled revenue, revenue data(along with market segment) will be sent from Opera to SAP S/4 HANA
Opera (Cloud &amp; Onprem) to SAP-S/4 HANA for Revenue accounting and for
Customer Advance / Deposit Receipts</t>
  </si>
  <si>
    <t>After night audit line level unbilled revenue, revenue data(along with market segment) will be sent from POS outlet, Banquets, SAP to SAP S/4 HANA 
POS (Cloud) to SAP-S/4 HANA for Revenue accounting</t>
  </si>
  <si>
    <t>After night audit line level unbilled revenue, revenue data(along with market segment) will be sent from Opera to SAP. 
Opera (Cloud &amp; Onprem) to SAP-S/4 HANA for Unbilled Revenue accounting</t>
  </si>
  <si>
    <t>Receiving MT940 from Bank and sharing payment files to Bank
Downloading reports from TA website and file formatting - RPA to upload verified reports in SAP</t>
  </si>
  <si>
    <t>Job Work and Service confirmation</t>
  </si>
  <si>
    <t>EXT-MobileApp</t>
  </si>
  <si>
    <t>E-invoice data from Source to ERP - PMs Cloud</t>
  </si>
  <si>
    <t>E-invoice data from Source to ERP - POS Cloud</t>
  </si>
  <si>
    <t>E-invoice data from Source to ERP - PMS On Prem</t>
  </si>
  <si>
    <t>External integration to get guest signed digital invoice and supporting from Source system to DMC is not considered in Finance scope</t>
  </si>
  <si>
    <t>Intercompany accounting between SAP entities for trade &amp; non-trade transactions</t>
  </si>
  <si>
    <t>DMS to save invoices references for intercompany transactions between AP &amp; AR modules</t>
  </si>
  <si>
    <t>EXT-POS(DT)</t>
  </si>
  <si>
    <t>After night audit line level Item level POS data (along with market segment) will be sent from POS outlet, Banquets, SAP to SAP S/4 HANA 
POS (Cloud) to SAP-S/4 HANA for Liquor Inventory consumption</t>
  </si>
  <si>
    <t>EXT-Epicure</t>
  </si>
  <si>
    <t>Epicure membership - point earned/ burned</t>
  </si>
  <si>
    <t>Gift Card - issued/ encashed</t>
  </si>
  <si>
    <t>SAP-Ariba</t>
  </si>
  <si>
    <t>EXT-BANK-HDFC</t>
  </si>
  <si>
    <t>Staff reimbursement</t>
  </si>
  <si>
    <t>IHCL to Bank Host to Host - 
HDFC for Staff Reimbursement</t>
  </si>
  <si>
    <t>Expense Management</t>
  </si>
  <si>
    <t>Host to Host Payment  - Hotels, HSBC Bank</t>
  </si>
  <si>
    <t>Domestic Payments, Foreign Payments, Advance Payments, Ad-hoc / Urgent Payments
IHCL to Bank Host to Host</t>
  </si>
  <si>
    <t>EXT-BANK-HSBC</t>
  </si>
  <si>
    <t xml:space="preserve">Domestic Payments, Foreign Payments, Advance Payments, Ad-hoc / Urgent Payments
IHCL to Bank Host to Host - </t>
  </si>
  <si>
    <t>Host to Host Payment  - Corporate, Kotak Bank</t>
  </si>
  <si>
    <t>Host to Host Payment  - Corporate, Axis Bank</t>
  </si>
  <si>
    <t>EXT-BANK-Kotak</t>
  </si>
  <si>
    <t>EXT-BANK-Axis</t>
  </si>
  <si>
    <t>Fixed Assets</t>
  </si>
  <si>
    <t>EXT-BPM(FA)</t>
  </si>
  <si>
    <t>Creation &amp; Sale/Disposal of Asset</t>
  </si>
  <si>
    <t>Creation of Asset, WBS code, CWIP code and Request for Sale/Disposal</t>
  </si>
  <si>
    <t>BPM tool as a workflow solution for CAPEX creation &amp; budget approval (non projects) requests
BPM tool as a workflow solution for asset sale &amp; disposal approval requests</t>
  </si>
  <si>
    <t>Tagging &amp; physical
verification</t>
  </si>
  <si>
    <t>RFID tagging solution for selected
category of assets (high risk / high
value)</t>
  </si>
  <si>
    <t>EXT-RFID(FA)</t>
  </si>
  <si>
    <t>EXT-BPM(R2R)</t>
  </si>
  <si>
    <t>Recurring Journals posting – TDS entry posting in GL</t>
  </si>
  <si>
    <t>Inventory, Liquor Consumption – POS</t>
  </si>
  <si>
    <t>DMS for Intercompany</t>
  </si>
  <si>
    <t>Integration Method</t>
  </si>
  <si>
    <t>From Application</t>
  </si>
  <si>
    <t>To Application</t>
  </si>
  <si>
    <t>EXT-DMS(IC)</t>
  </si>
  <si>
    <t>Explore SAP-VIM as DMS for IC invoices</t>
  </si>
  <si>
    <t>Inventory, Liquor consumption</t>
  </si>
  <si>
    <t>FP&amp;A</t>
  </si>
  <si>
    <t>E-invoice Generation</t>
  </si>
  <si>
    <t>SAP-S/4 HANA for E-invoice generation through SAP-DCS to GST portal through API</t>
  </si>
  <si>
    <t>Fetch EInvoice information from portal</t>
  </si>
  <si>
    <t>EXT-Gift card</t>
  </si>
  <si>
    <t>JV request management - third party BPM tool
Configure
Workflow tool to include mandatory
TDS check at the time of requesting JVs and  mandatory check for set of GLs Cost
Centres where gifts, perquisites are typically
recorded</t>
  </si>
  <si>
    <t>Planning, Budgeting &amp; Forecasting</t>
  </si>
  <si>
    <t>Host to Host Payment  - Corporate, ICICI Bank</t>
  </si>
  <si>
    <t>EXT-BANK-ICICI</t>
  </si>
  <si>
    <t>Hyperion Financial Management (HFM)</t>
  </si>
  <si>
    <t>Tax Audit consolidation (NWDCo)</t>
  </si>
  <si>
    <t>Protiviti control centre</t>
  </si>
  <si>
    <t>Asset, Liability &amp; Cost analysis</t>
  </si>
  <si>
    <t>Data sent by Oracle to Datalake</t>
  </si>
  <si>
    <t>Related Party Transactions (RPT) (Deloitte-Anaplan)</t>
  </si>
  <si>
    <t>Reporting and compliance of RPT</t>
  </si>
  <si>
    <t>To be decided</t>
  </si>
  <si>
    <t>Digital Signature of hotel FC on Invoices</t>
  </si>
  <si>
    <t>EXT-DSC(sign)</t>
  </si>
  <si>
    <t>Attach Digital Signature of unit head on documents</t>
  </si>
  <si>
    <t>Tax Audit</t>
  </si>
  <si>
    <t>Consolidation of Tax Audit clauses, Separate application built by NWDCo</t>
  </si>
  <si>
    <t>EXT-Tax Audit</t>
  </si>
  <si>
    <t xml:space="preserve">Billing Data on Checkout &amp; Credit Note For e-invoice generation &amp; settlement accounting
Opera Cloud/POS Cloud to SAP-S/4 HANA </t>
  </si>
  <si>
    <t>Billing Data on Checkout &amp; Credit Note For e-invoice generation &amp; settlement accounting
Opera OnPrem instance pending for migration to cloud to SAP-S/4 HANA</t>
  </si>
  <si>
    <t>Billing Data on settlement For e-invoice generation &amp; settlement accounting
POS Cloud to SAP-S/4 HANA for E-invoice generation through flat file post night audit for all POS outlets, Banquets and SPA</t>
  </si>
  <si>
    <t>SAP S/4 Hana will send to Opera Cloud + POS for handing over the QR code generated Invoices</t>
  </si>
  <si>
    <t>Alternatively, Send the QR details to external DMS or Ecobillz till SAP solution is finalised</t>
  </si>
  <si>
    <t>Control Centre</t>
  </si>
  <si>
    <t>EXT-Control</t>
  </si>
  <si>
    <t>Control Centre Analysis data</t>
  </si>
  <si>
    <t>Tax Audit data</t>
  </si>
  <si>
    <t>EXT-Anaplan</t>
  </si>
  <si>
    <t>Financial Consolidation</t>
  </si>
  <si>
    <t>Integrating trial balance data from units to HFM</t>
  </si>
  <si>
    <t>Trial balance from SAP-S4/Hana, Non SAP units into HFM</t>
  </si>
  <si>
    <t>EXT-HFM</t>
  </si>
  <si>
    <t>HFM</t>
  </si>
  <si>
    <t>Application built on Anaplan by Deloitte
Transaction Data to be sent by SAP to Deloitte-Anaplan application</t>
  </si>
  <si>
    <t>H2H, HSBC</t>
  </si>
  <si>
    <t>H2H, Kotak</t>
  </si>
  <si>
    <t>H2H, Axis</t>
  </si>
  <si>
    <t>H2H, ICICI</t>
  </si>
  <si>
    <t>H2H, HDFC</t>
  </si>
  <si>
    <t>Host to Host Payment  - Hotels, HDFC Bank</t>
  </si>
  <si>
    <t>EXT-CDM</t>
  </si>
  <si>
    <t>SAP-BI</t>
  </si>
  <si>
    <t>Critical for digitisation of customer invoicing</t>
  </si>
  <si>
    <t>Revenue &amp; Settlement Accounting</t>
  </si>
  <si>
    <t>MSO file</t>
  </si>
  <si>
    <t>Update points data from Epicure source system to SAP S/4 HANA</t>
  </si>
  <si>
    <t>SI responsible</t>
  </si>
  <si>
    <t>QR validation with GST Portal</t>
  </si>
  <si>
    <t>Custom mobile based application for
creation &amp; maintenance of service slips for job-work, repairs services etc.</t>
  </si>
  <si>
    <t>Job Work and Service confirmation in S4</t>
  </si>
  <si>
    <t>Payment executive to login on respective government site and generate draft challan for statutory payments</t>
  </si>
  <si>
    <t xml:space="preserve">Statutory Payments - TDS/VAT/GST return </t>
  </si>
  <si>
    <t>EXT-GOVT Pay</t>
  </si>
  <si>
    <t>SAP-BTP</t>
  </si>
  <si>
    <t>EXT-Market Analysis</t>
  </si>
  <si>
    <t>Third Party APIs for document related validations</t>
  </si>
  <si>
    <t>EXT-MSME Portal</t>
  </si>
  <si>
    <t>EXT-TicketingTool</t>
  </si>
  <si>
    <t>SAP BTP / Third-Party Bolt On solution
System should be able to category request as query, compliant, etc., and should be able to track creation, assignment, resolution,  closure along with monitoring reports</t>
  </si>
  <si>
    <t>RPT Transactions</t>
  </si>
  <si>
    <t>RPT Transactions Data</t>
  </si>
  <si>
    <t>Tagging of Assets</t>
  </si>
  <si>
    <t>EXT-DMS</t>
  </si>
  <si>
    <t>EXT-FSSAI Portal</t>
  </si>
  <si>
    <t>EXT-PAN Portal</t>
  </si>
  <si>
    <t>EXT-CIN Portal</t>
  </si>
  <si>
    <t>Third Party APIs for Bank Account verification / Penny Drop related validations</t>
  </si>
  <si>
    <t>EXT-Bank Account Portal</t>
  </si>
  <si>
    <t>Contract Integration | GBPA to CPA replication</t>
  </si>
  <si>
    <t>Auto replication of contract terms &amp; parameters (Price, payment terms, products etc) through RPA</t>
  </si>
  <si>
    <t>EXT-RPA</t>
  </si>
  <si>
    <t>Source to Payment</t>
  </si>
  <si>
    <t>Invoicing</t>
  </si>
  <si>
    <t>SES / Invoice Processing</t>
  </si>
  <si>
    <t>SES &amp; Vendor Invoice transmission to VIM through Ariba</t>
  </si>
  <si>
    <t>EXT-VIM</t>
  </si>
  <si>
    <t>Connectivity Type</t>
  </si>
  <si>
    <t>SSL</t>
  </si>
  <si>
    <t>SSL Certificate &amp; Token Required?</t>
  </si>
  <si>
    <t xml:space="preserve">Not Applicable </t>
  </si>
  <si>
    <t>SFTP</t>
  </si>
  <si>
    <t>Discussion Completed</t>
  </si>
  <si>
    <t>Discussion Pending</t>
  </si>
  <si>
    <t>SAP S4</t>
  </si>
  <si>
    <t>Yes</t>
  </si>
  <si>
    <t>Discuss with Ankita</t>
  </si>
  <si>
    <t>TCS Owner</t>
  </si>
  <si>
    <t>Shamal</t>
  </si>
  <si>
    <t>To be discussed</t>
  </si>
  <si>
    <t>Pranjal/Shilpa</t>
  </si>
  <si>
    <t>Ankita</t>
  </si>
  <si>
    <t>Mohan</t>
  </si>
  <si>
    <t>David</t>
  </si>
  <si>
    <t>Manmohan/Sunil</t>
  </si>
  <si>
    <t>Opentext</t>
  </si>
  <si>
    <t>Diverse Infotech</t>
  </si>
  <si>
    <t>Vaibhav</t>
  </si>
  <si>
    <t>Nileshwar</t>
  </si>
  <si>
    <t>Prabhakaran</t>
  </si>
  <si>
    <t>???</t>
  </si>
  <si>
    <t>Sunil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</si>
</sst>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u/>
      <sz val="10"/>
      <color rgb="FF0000EE"/>
      <name val="Arial"/>
      <family val="2"/>
    </font>
    <font>
      <sz val="11"/>
      <name val="Calibri"/>
      <family val="2"/>
      <scheme val="minor"/>
    </font>
    <font>
      <b/>
      <sz val="11"/>
      <name val="Calibri"/>
      <family val="2"/>
      <scheme val="minor"/>
    </font>
    <font>
      <b/>
      <sz val="11"/>
      <color theme="0"/>
      <name val="Calibri"/>
      <family val="2"/>
      <scheme val="minor"/>
    </font>
    <font>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rgb="FF9BC2E6"/>
        <bgColor indexed="64"/>
      </patternFill>
    </fill>
    <fill>
      <patternFill patternType="solid">
        <fgColor rgb="FF00206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diagonal/>
    </border>
  </borders>
  <cellStyleXfs count="3">
    <xf numFmtId="0" fontId="0" fillId="0" borderId="0"/>
    <xf numFmtId="0" fontId="1" fillId="0" borderId="0"/>
    <xf numFmtId="0" fontId="2" fillId="0" borderId="0" applyBorder="0" applyAlignment="0" applyProtection="0"/>
  </cellStyleXfs>
  <cellXfs count="23">
    <xf numFmtId="0" fontId="0" fillId="0" borderId="0" xfId="0"/>
    <xf numFmtId="0" fontId="0" fillId="0" borderId="1" xfId="1" applyFont="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5" fillId="4" borderId="3" xfId="0" applyFont="1" applyFill="1" applyBorder="1" applyAlignment="1">
      <alignment vertical="center"/>
    </xf>
    <xf numFmtId="0" fontId="5" fillId="4" borderId="3" xfId="0" applyFont="1" applyFill="1" applyBorder="1" applyAlignment="1">
      <alignment vertical="center" wrapText="1"/>
    </xf>
    <xf numFmtId="0" fontId="5" fillId="4" borderId="0" xfId="0" applyFont="1" applyFill="1" applyAlignment="1">
      <alignment horizontal="center" vertical="center" wrapText="1"/>
    </xf>
    <xf numFmtId="0" fontId="6" fillId="0" borderId="0" xfId="0" applyFont="1" applyAlignment="1">
      <alignment vertical="center" wrapText="1"/>
    </xf>
    <xf numFmtId="0" fontId="4"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3" fillId="0" borderId="0" xfId="0" applyFont="1" applyAlignment="1">
      <alignment vertical="top" wrapText="1"/>
    </xf>
    <xf numFmtId="0" fontId="0" fillId="0" borderId="2" xfId="0" applyBorder="1" applyAlignment="1">
      <alignment vertical="top" wrapText="1"/>
    </xf>
    <xf numFmtId="0" fontId="7" fillId="0" borderId="2" xfId="0" applyFont="1" applyBorder="1" applyAlignment="1">
      <alignment vertical="top" wrapText="1"/>
    </xf>
    <xf numFmtId="0" fontId="7" fillId="0" borderId="1" xfId="0" applyFont="1"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0" xfId="0" applyAlignment="1">
      <alignment vertical="center" wrapText="1"/>
    </xf>
    <xf numFmtId="0" fontId="0" fillId="0" borderId="0" xfId="0" applyAlignment="1">
      <alignment horizontal="left" vertical="top" wrapText="1"/>
    </xf>
    <xf numFmtId="0" fontId="7" fillId="5" borderId="2" xfId="0" applyFont="1" applyFill="1" applyBorder="1" applyAlignment="1">
      <alignment vertical="top" wrapText="1"/>
    </xf>
    <xf numFmtId="0" fontId="0" fillId="5" borderId="2" xfId="0" applyFill="1" applyBorder="1" applyAlignment="1">
      <alignment vertical="top" wrapText="1"/>
    </xf>
    <xf numFmtId="0" fontId="7" fillId="5" borderId="1" xfId="0" applyFont="1" applyFill="1" applyBorder="1" applyAlignment="1">
      <alignment vertical="top" wrapText="1"/>
    </xf>
    <xf numFmtId="0" fontId="0" fillId="5" borderId="1" xfId="0" applyFill="1" applyBorder="1" applyAlignment="1">
      <alignment vertical="top" wrapText="1"/>
    </xf>
  </cellXfs>
  <cellStyles count="3">
    <cellStyle name="Hyperlink 2" xfId="2" xr:uid="{CEF54637-541A-417B-A088-8F61F129AEBC}"/>
    <cellStyle name="Normal" xfId="0" builtinId="0"/>
    <cellStyle name="Normal 12" xfId="1" xr:uid="{DB344483-8C07-412C-B2B1-6E94E58DEF56}"/>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20Drive\Solutions%20Team\IHCL\Implementation\Integration\IHCL%20draft%20list%20of%20integrations%20and%20interface%20required%20V4%20020924%20with%20Rishi%20Inpu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Integration List External"/>
      <sheetName val="Ext Integration for BTP"/>
      <sheetName val="Integration List within SAP"/>
      <sheetName val="list"/>
    </sheetNames>
    <sheetDataSet>
      <sheetData sheetId="0"/>
      <sheetData sheetId="1"/>
      <sheetData sheetId="2"/>
      <sheetData sheetId="3"/>
      <sheetData sheetId="4">
        <row r="1">
          <cell r="A1" t="str">
            <v>SAP-VIM</v>
          </cell>
          <cell r="B1" t="str">
            <v>Avaali</v>
          </cell>
        </row>
        <row r="2">
          <cell r="A2" t="str">
            <v>SAP-SF</v>
          </cell>
          <cell r="B2" t="str">
            <v>Deloitte</v>
          </cell>
        </row>
        <row r="3">
          <cell r="A3" t="str">
            <v>SAP-S4</v>
          </cell>
          <cell r="B3" t="str">
            <v>TCS</v>
          </cell>
        </row>
        <row r="4">
          <cell r="A4" t="str">
            <v>SAP-MDG</v>
          </cell>
          <cell r="B4" t="str">
            <v>TCS</v>
          </cell>
        </row>
        <row r="5">
          <cell r="A5" t="str">
            <v>SAP-DCS</v>
          </cell>
          <cell r="B5" t="str">
            <v>DCS</v>
          </cell>
        </row>
        <row r="6">
          <cell r="A6" t="str">
            <v>SAP-Concur</v>
          </cell>
          <cell r="B6" t="str">
            <v>Concur</v>
          </cell>
        </row>
        <row r="7">
          <cell r="A7" t="str">
            <v>SAP-Custom</v>
          </cell>
          <cell r="B7" t="str">
            <v>TCS</v>
          </cell>
        </row>
        <row r="8">
          <cell r="A8" t="str">
            <v>SAP-Ariba</v>
          </cell>
          <cell r="B8" t="str">
            <v>TCS</v>
          </cell>
        </row>
        <row r="9">
          <cell r="A9" t="str">
            <v>SAP-Ariba</v>
          </cell>
          <cell r="B9" t="str">
            <v>TCS</v>
          </cell>
        </row>
        <row r="10">
          <cell r="A10" t="str">
            <v>Outlook email services</v>
          </cell>
          <cell r="B10" t="str">
            <v>IHCL</v>
          </cell>
        </row>
        <row r="11">
          <cell r="A11" t="str">
            <v>EXT-TA website</v>
          </cell>
          <cell r="B11" t="str">
            <v>EXT</v>
          </cell>
        </row>
        <row r="12">
          <cell r="A12" t="str">
            <v>EXT-RFID(FA)</v>
          </cell>
          <cell r="B12" t="str">
            <v>EXT</v>
          </cell>
        </row>
        <row r="13">
          <cell r="A13" t="str">
            <v>EXT-Prologic</v>
          </cell>
          <cell r="B13" t="str">
            <v>EXT</v>
          </cell>
        </row>
        <row r="14">
          <cell r="A14" t="str">
            <v>EXT-POS.GST</v>
          </cell>
          <cell r="B14" t="str">
            <v>EXT</v>
          </cell>
        </row>
        <row r="15">
          <cell r="A15" t="str">
            <v>EXT-POS(RV)</v>
          </cell>
          <cell r="B15" t="str">
            <v>EXT</v>
          </cell>
        </row>
        <row r="16">
          <cell r="A16" t="str">
            <v>EXT-PMS.GST Onprem</v>
          </cell>
          <cell r="B16" t="str">
            <v>EXT</v>
          </cell>
        </row>
        <row r="17">
          <cell r="A17" t="str">
            <v>EXT-PMS.GST Cloud</v>
          </cell>
          <cell r="B17" t="str">
            <v>EXT</v>
          </cell>
        </row>
        <row r="18">
          <cell r="A18" t="str">
            <v>EXT-PMS(RV)</v>
          </cell>
          <cell r="B18" t="str">
            <v>EXT</v>
          </cell>
        </row>
        <row r="19">
          <cell r="A19" t="str">
            <v>EXT-MobileApp</v>
          </cell>
          <cell r="B19" t="str">
            <v>EXT</v>
          </cell>
        </row>
        <row r="20">
          <cell r="A20" t="str">
            <v>EXT-Gift card</v>
          </cell>
          <cell r="B20" t="str">
            <v>EXT</v>
          </cell>
        </row>
        <row r="21">
          <cell r="A21" t="str">
            <v>EXT-Epicure</v>
          </cell>
          <cell r="B21" t="str">
            <v>EXT</v>
          </cell>
        </row>
        <row r="22">
          <cell r="A22" t="str">
            <v>EXT-DMS(Invoice)</v>
          </cell>
          <cell r="B22" t="str">
            <v>EXT</v>
          </cell>
        </row>
        <row r="23">
          <cell r="A23" t="str">
            <v>EXT-DMS(IC)</v>
          </cell>
          <cell r="B23" t="str">
            <v>EXT</v>
          </cell>
        </row>
        <row r="24">
          <cell r="A24" t="str">
            <v>EXT-CDM</v>
          </cell>
          <cell r="B24" t="str">
            <v>EXT</v>
          </cell>
        </row>
        <row r="25">
          <cell r="A25" t="str">
            <v>EXT-BPM(R2R)</v>
          </cell>
          <cell r="B25" t="str">
            <v>EXT</v>
          </cell>
        </row>
        <row r="26">
          <cell r="A26" t="str">
            <v>EXT-BPM(FA)</v>
          </cell>
          <cell r="B26" t="str">
            <v>EXT</v>
          </cell>
        </row>
        <row r="27">
          <cell r="A27" t="str">
            <v>EXT-Banks(Rec)</v>
          </cell>
          <cell r="B27" t="str">
            <v>EXT</v>
          </cell>
        </row>
        <row r="28">
          <cell r="A28" t="str">
            <v>EXT-GST Portal</v>
          </cell>
          <cell r="B28" t="str">
            <v>EXT</v>
          </cell>
        </row>
        <row r="29">
          <cell r="A29" t="str">
            <v>EXT-BANK-HSBC</v>
          </cell>
          <cell r="B29" t="str">
            <v>EXT</v>
          </cell>
        </row>
        <row r="30">
          <cell r="A30" t="str">
            <v>EXT-BANK-HDFC</v>
          </cell>
          <cell r="B30" t="str">
            <v>EXT</v>
          </cell>
        </row>
        <row r="31">
          <cell r="A31" t="str">
            <v>EXT-BANK-Kotak</v>
          </cell>
          <cell r="B31" t="str">
            <v>EXT</v>
          </cell>
        </row>
        <row r="32">
          <cell r="A32" t="str">
            <v>EXT-BANK-Axis</v>
          </cell>
          <cell r="B32" t="str">
            <v>EXT</v>
          </cell>
        </row>
        <row r="33">
          <cell r="A33" t="str">
            <v>EXT-BANK-ICICI</v>
          </cell>
          <cell r="B33" t="str">
            <v>EXT</v>
          </cell>
        </row>
        <row r="34">
          <cell r="A34" t="str">
            <v>EXT-TDS Portal</v>
          </cell>
          <cell r="B34" t="str">
            <v>EXT</v>
          </cell>
        </row>
        <row r="35">
          <cell r="A35" t="str">
            <v>EXT-VAT Portal</v>
          </cell>
          <cell r="B35" t="str">
            <v>EXT</v>
          </cell>
        </row>
        <row r="36">
          <cell r="A36" t="str">
            <v>EXT-CDM</v>
          </cell>
          <cell r="B36" t="str">
            <v>EXT</v>
          </cell>
        </row>
        <row r="37">
          <cell r="A37" t="str">
            <v>EXT-PMS/POS</v>
          </cell>
          <cell r="B37" t="str">
            <v>EXT</v>
          </cell>
        </row>
        <row r="38">
          <cell r="A38" t="str">
            <v>EXT-DSC(sign)</v>
          </cell>
          <cell r="B38" t="str">
            <v>EXT</v>
          </cell>
        </row>
        <row r="39">
          <cell r="A39" t="str">
            <v>SAP-FCC</v>
          </cell>
          <cell r="B39" t="str">
            <v>EXT</v>
          </cell>
        </row>
        <row r="40">
          <cell r="A40" t="str">
            <v>SAP-ICMR</v>
          </cell>
          <cell r="B40" t="str">
            <v>TCS</v>
          </cell>
        </row>
        <row r="41">
          <cell r="A41" t="str">
            <v>SAP-DM</v>
          </cell>
          <cell r="B41" t="str">
            <v>EXT</v>
          </cell>
        </row>
        <row r="42">
          <cell r="A42" t="str">
            <v>EXT-PBCS</v>
          </cell>
          <cell r="B42" t="str">
            <v>EXT</v>
          </cell>
        </row>
        <row r="43">
          <cell r="A43" t="str">
            <v>EXT-HFM</v>
          </cell>
          <cell r="B43" t="str">
            <v>EXT</v>
          </cell>
        </row>
        <row r="44">
          <cell r="A44" t="str">
            <v>EXT-Tax Audit</v>
          </cell>
          <cell r="B44" t="str">
            <v>EXT</v>
          </cell>
        </row>
        <row r="45">
          <cell r="A45" t="str">
            <v>EXT-Control</v>
          </cell>
          <cell r="B45" t="str">
            <v>EXT</v>
          </cell>
        </row>
        <row r="46">
          <cell r="A46" t="str">
            <v>EXT-Anaplan</v>
          </cell>
          <cell r="B46" t="str">
            <v>EXT</v>
          </cell>
        </row>
        <row r="47">
          <cell r="A47" t="str">
            <v>EXT-GOVT Pay</v>
          </cell>
          <cell r="B47" t="str">
            <v>EXT</v>
          </cell>
        </row>
        <row r="48">
          <cell r="A48" t="str">
            <v>EXT-PMS.OSO</v>
          </cell>
          <cell r="B48" t="str">
            <v>EXT</v>
          </cell>
        </row>
        <row r="49">
          <cell r="A49" t="str">
            <v>EXT-POS(DT)</v>
          </cell>
          <cell r="B49" t="str">
            <v>EXT</v>
          </cell>
        </row>
        <row r="50">
          <cell r="A50" t="str">
            <v>EXT-DMS</v>
          </cell>
          <cell r="B50" t="str">
            <v>EXT</v>
          </cell>
        </row>
        <row r="51">
          <cell r="A51" t="str">
            <v>EXT-TicketingTool</v>
          </cell>
          <cell r="B51" t="str">
            <v>EXT</v>
          </cell>
        </row>
        <row r="52">
          <cell r="A52" t="str">
            <v>EXT-Market Analysis</v>
          </cell>
          <cell r="B52" t="str">
            <v>EXT</v>
          </cell>
        </row>
        <row r="53">
          <cell r="A53" t="str">
            <v>EXT-MSME Portal</v>
          </cell>
          <cell r="B53" t="str">
            <v>EXT</v>
          </cell>
        </row>
        <row r="54">
          <cell r="A54" t="str">
            <v>SAP-BTP</v>
          </cell>
          <cell r="B54" t="str">
            <v>TCS</v>
          </cell>
        </row>
        <row r="55">
          <cell r="A55" t="str">
            <v>EXT-FSSAI Portal</v>
          </cell>
          <cell r="B55" t="str">
            <v>EXT</v>
          </cell>
        </row>
        <row r="56">
          <cell r="A56" t="str">
            <v>EXT-PAN Portal</v>
          </cell>
          <cell r="B56" t="str">
            <v>EXT</v>
          </cell>
        </row>
        <row r="57">
          <cell r="A57" t="str">
            <v>EXT-CIN Portal</v>
          </cell>
          <cell r="B57" t="str">
            <v>EXT</v>
          </cell>
        </row>
        <row r="58">
          <cell r="A58" t="str">
            <v>EXT-Bank Account Portal</v>
          </cell>
          <cell r="B58" t="str">
            <v>EXT</v>
          </cell>
        </row>
        <row r="59">
          <cell r="A59" t="str">
            <v>EXT-RPA</v>
          </cell>
          <cell r="B59" t="str">
            <v>EXT</v>
          </cell>
        </row>
        <row r="60">
          <cell r="A60" t="str">
            <v>EXT-VIM</v>
          </cell>
          <cell r="B60" t="str">
            <v>EXT</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AD54-FD6D-4DF7-8931-82CF5816EB54}">
  <dimension ref="B1:R64"/>
  <sheetViews>
    <sheetView showGridLines="0" tabSelected="1" zoomScale="80" zoomScaleNormal="80" workbookViewId="0">
      <pane xSplit="6" ySplit="2" topLeftCell="G3" activePane="bottomRight" state="frozen"/>
      <selection pane="topRight" activeCell="C59" sqref="C59"/>
      <selection pane="bottomLeft" activeCell="C59" sqref="C59"/>
      <selection pane="bottomRight" activeCell="E3" sqref="E3"/>
    </sheetView>
  </sheetViews>
  <sheetFormatPr defaultColWidth="30.1796875" defaultRowHeight="14.5" x14ac:dyDescent="0.35"/>
  <cols>
    <col min="1" max="1" width="1.453125" style="17" customWidth="1"/>
    <col min="2" max="2" width="5.54296875" style="17" customWidth="1"/>
    <col min="3" max="3" width="8.08984375" style="2" customWidth="1"/>
    <col min="4" max="4" width="13.81640625" style="2" customWidth="1"/>
    <col min="5" max="5" width="13.54296875" style="2" customWidth="1"/>
    <col min="6" max="6" width="25.08984375" style="18" customWidth="1"/>
    <col min="7" max="7" width="43.26953125" style="18" customWidth="1"/>
    <col min="8" max="10" width="15.36328125" style="2" customWidth="1"/>
    <col min="11" max="11" width="11.1796875" style="2" customWidth="1"/>
    <col min="12" max="12" width="20.1796875" style="2" customWidth="1"/>
    <col min="13" max="13" width="12" style="2" customWidth="1"/>
    <col min="14" max="14" width="19.7265625" style="17" customWidth="1"/>
    <col min="15" max="15" width="18.1796875" style="2" customWidth="1"/>
    <col min="16" max="16" width="16.1796875" style="2" customWidth="1"/>
    <col min="17" max="16384" width="30.1796875" style="17"/>
  </cols>
  <sheetData>
    <row r="1" spans="2:16" s="7" customFormat="1" x14ac:dyDescent="0.35">
      <c r="B1" s="4" t="s">
        <v>40</v>
      </c>
      <c r="C1" s="5"/>
      <c r="D1" s="5"/>
      <c r="E1" s="5"/>
      <c r="F1" s="5"/>
      <c r="G1" s="5"/>
      <c r="H1" s="6"/>
      <c r="I1" s="6"/>
      <c r="J1" s="6"/>
      <c r="K1" s="6"/>
      <c r="L1" s="6"/>
      <c r="M1" s="6"/>
      <c r="N1" s="6"/>
      <c r="O1" s="6"/>
      <c r="P1" s="6"/>
    </row>
    <row r="2" spans="2:16" s="11" customFormat="1" ht="29" x14ac:dyDescent="0.35">
      <c r="B2" s="8" t="s">
        <v>0</v>
      </c>
      <c r="C2" s="8" t="s">
        <v>1</v>
      </c>
      <c r="D2" s="8" t="s">
        <v>2</v>
      </c>
      <c r="E2" s="9" t="s">
        <v>3</v>
      </c>
      <c r="F2" s="10" t="s">
        <v>4</v>
      </c>
      <c r="G2" s="8" t="s">
        <v>5</v>
      </c>
      <c r="H2" s="8" t="s">
        <v>125</v>
      </c>
      <c r="I2" s="8" t="s">
        <v>126</v>
      </c>
      <c r="J2" s="8" t="s">
        <v>221</v>
      </c>
      <c r="K2" s="8" t="s">
        <v>124</v>
      </c>
      <c r="L2" s="8" t="s">
        <v>68</v>
      </c>
      <c r="M2" s="8" t="s">
        <v>211</v>
      </c>
      <c r="N2" s="8" t="s">
        <v>213</v>
      </c>
      <c r="O2" s="8" t="s">
        <v>42</v>
      </c>
      <c r="P2" s="8" t="s">
        <v>181</v>
      </c>
    </row>
    <row r="3" spans="2:16" s="2" customFormat="1" ht="29" x14ac:dyDescent="0.35">
      <c r="B3" s="3">
        <v>1</v>
      </c>
      <c r="C3" s="3" t="s">
        <v>6</v>
      </c>
      <c r="D3" s="12" t="s">
        <v>12</v>
      </c>
      <c r="E3" s="3" t="s">
        <v>13</v>
      </c>
      <c r="F3" s="3" t="s">
        <v>46</v>
      </c>
      <c r="G3" s="3" t="s">
        <v>47</v>
      </c>
      <c r="H3" s="3" t="s">
        <v>78</v>
      </c>
      <c r="I3" s="3" t="s">
        <v>45</v>
      </c>
      <c r="J3" s="3" t="s">
        <v>231</v>
      </c>
      <c r="K3" s="3" t="s">
        <v>52</v>
      </c>
      <c r="L3" s="3"/>
      <c r="M3" s="12"/>
      <c r="N3" s="3"/>
      <c r="O3" s="3"/>
      <c r="P3" s="3" t="e">
        <f>VLOOKUP($H3,#REF!,2,0)&amp;"-"&amp;VLOOKUP($I3,#REF!,2,0)</f>
        <v>#REF!</v>
      </c>
    </row>
    <row r="4" spans="2:16" s="2" customFormat="1" ht="29" x14ac:dyDescent="0.35">
      <c r="B4" s="3">
        <f>B3+1</f>
        <v>2</v>
      </c>
      <c r="C4" s="3" t="s">
        <v>6</v>
      </c>
      <c r="D4" s="12" t="s">
        <v>12</v>
      </c>
      <c r="E4" s="3" t="s">
        <v>14</v>
      </c>
      <c r="F4" s="3" t="s">
        <v>15</v>
      </c>
      <c r="G4" s="3" t="s">
        <v>182</v>
      </c>
      <c r="H4" s="3" t="s">
        <v>79</v>
      </c>
      <c r="I4" s="3" t="s">
        <v>48</v>
      </c>
      <c r="J4" s="3"/>
      <c r="K4" s="3" t="s">
        <v>52</v>
      </c>
      <c r="L4" s="3"/>
      <c r="M4" s="12" t="s">
        <v>212</v>
      </c>
      <c r="N4" s="3"/>
      <c r="O4" s="3"/>
      <c r="P4" s="3" t="e">
        <f>VLOOKUP($H4,#REF!,2,0)&amp;"-"&amp;VLOOKUP($I4,#REF!,2,0)</f>
        <v>#REF!</v>
      </c>
    </row>
    <row r="5" spans="2:16" s="2" customFormat="1" ht="43.5" x14ac:dyDescent="0.35">
      <c r="B5" s="3">
        <f t="shared" ref="B5:B56" si="0">B4+1</f>
        <v>3</v>
      </c>
      <c r="C5" s="3" t="s">
        <v>6</v>
      </c>
      <c r="D5" s="12" t="s">
        <v>12</v>
      </c>
      <c r="E5" s="3" t="s">
        <v>14</v>
      </c>
      <c r="F5" s="3" t="s">
        <v>86</v>
      </c>
      <c r="G5" s="3" t="s">
        <v>183</v>
      </c>
      <c r="H5" s="22" t="s">
        <v>87</v>
      </c>
      <c r="I5" s="22" t="s">
        <v>45</v>
      </c>
      <c r="J5" s="20" t="s">
        <v>229</v>
      </c>
      <c r="K5" s="12" t="s">
        <v>52</v>
      </c>
      <c r="L5" s="3"/>
      <c r="M5" s="12"/>
      <c r="N5" s="3"/>
      <c r="O5" s="3"/>
      <c r="P5" s="3" t="e">
        <f>VLOOKUP($H5,#REF!,2,0)&amp;"-"&amp;VLOOKUP($I5,#REF!,2,0)</f>
        <v>#REF!</v>
      </c>
    </row>
    <row r="6" spans="2:16" s="2" customFormat="1" ht="43.5" x14ac:dyDescent="0.35">
      <c r="B6" s="3">
        <f t="shared" si="0"/>
        <v>4</v>
      </c>
      <c r="C6" s="3" t="s">
        <v>6</v>
      </c>
      <c r="D6" s="12" t="s">
        <v>12</v>
      </c>
      <c r="E6" s="3" t="s">
        <v>14</v>
      </c>
      <c r="F6" s="3" t="s">
        <v>184</v>
      </c>
      <c r="G6" s="3" t="s">
        <v>183</v>
      </c>
      <c r="H6" s="22" t="s">
        <v>87</v>
      </c>
      <c r="I6" s="20" t="s">
        <v>41</v>
      </c>
      <c r="J6" s="20" t="s">
        <v>228</v>
      </c>
      <c r="K6" s="12" t="s">
        <v>52</v>
      </c>
      <c r="L6" s="3"/>
      <c r="M6" s="12" t="s">
        <v>214</v>
      </c>
      <c r="N6" s="12" t="s">
        <v>214</v>
      </c>
      <c r="O6" s="3"/>
      <c r="P6" s="3" t="e">
        <f>VLOOKUP($H6,#REF!,2,0)&amp;"-"&amp;VLOOKUP($I6,#REF!,2,0)</f>
        <v>#REF!</v>
      </c>
    </row>
    <row r="7" spans="2:16" s="2" customFormat="1" ht="43.5" x14ac:dyDescent="0.35">
      <c r="B7" s="3">
        <f t="shared" si="0"/>
        <v>5</v>
      </c>
      <c r="C7" s="3" t="s">
        <v>6</v>
      </c>
      <c r="D7" s="12" t="s">
        <v>12</v>
      </c>
      <c r="E7" s="3" t="s">
        <v>16</v>
      </c>
      <c r="F7" s="3" t="s">
        <v>104</v>
      </c>
      <c r="G7" s="3" t="s">
        <v>105</v>
      </c>
      <c r="H7" s="12" t="s">
        <v>41</v>
      </c>
      <c r="I7" s="3" t="s">
        <v>106</v>
      </c>
      <c r="J7" s="3"/>
      <c r="K7" s="3" t="s">
        <v>52</v>
      </c>
      <c r="L7" s="1" t="s">
        <v>169</v>
      </c>
      <c r="M7" s="12" t="s">
        <v>215</v>
      </c>
      <c r="N7" s="3"/>
      <c r="O7" s="3" t="s">
        <v>216</v>
      </c>
      <c r="P7" s="3" t="e">
        <f>VLOOKUP($H7,#REF!,2,0)&amp;"-"&amp;VLOOKUP($I7,#REF!,2,0)</f>
        <v>#REF!</v>
      </c>
    </row>
    <row r="8" spans="2:16" s="2" customFormat="1" ht="43.5" x14ac:dyDescent="0.35">
      <c r="B8" s="3">
        <f t="shared" si="0"/>
        <v>6</v>
      </c>
      <c r="C8" s="3" t="s">
        <v>6</v>
      </c>
      <c r="D8" s="12" t="s">
        <v>12</v>
      </c>
      <c r="E8" s="3" t="s">
        <v>16</v>
      </c>
      <c r="F8" s="3" t="s">
        <v>174</v>
      </c>
      <c r="G8" s="3" t="s">
        <v>105</v>
      </c>
      <c r="H8" s="12" t="s">
        <v>41</v>
      </c>
      <c r="I8" s="3" t="s">
        <v>100</v>
      </c>
      <c r="J8" s="3"/>
      <c r="K8" s="3" t="s">
        <v>52</v>
      </c>
      <c r="L8" s="1" t="s">
        <v>173</v>
      </c>
      <c r="M8" s="12" t="s">
        <v>215</v>
      </c>
      <c r="N8" s="3"/>
      <c r="O8" s="3" t="s">
        <v>216</v>
      </c>
      <c r="P8" s="3" t="e">
        <f>VLOOKUP($H8,#REF!,2,0)&amp;"-"&amp;VLOOKUP($I8,#REF!,2,0)</f>
        <v>#REF!</v>
      </c>
    </row>
    <row r="9" spans="2:16" s="2" customFormat="1" ht="43.5" x14ac:dyDescent="0.35">
      <c r="B9" s="3">
        <f t="shared" si="0"/>
        <v>7</v>
      </c>
      <c r="C9" s="3" t="s">
        <v>6</v>
      </c>
      <c r="D9" s="12" t="s">
        <v>12</v>
      </c>
      <c r="E9" s="3" t="s">
        <v>16</v>
      </c>
      <c r="F9" s="3" t="s">
        <v>108</v>
      </c>
      <c r="G9" s="3" t="s">
        <v>107</v>
      </c>
      <c r="H9" s="12" t="s">
        <v>41</v>
      </c>
      <c r="I9" s="3" t="s">
        <v>110</v>
      </c>
      <c r="J9" s="3"/>
      <c r="K9" s="3" t="s">
        <v>52</v>
      </c>
      <c r="L9" s="1" t="s">
        <v>170</v>
      </c>
      <c r="M9" s="12" t="s">
        <v>212</v>
      </c>
      <c r="N9" s="3"/>
      <c r="O9" s="3" t="s">
        <v>217</v>
      </c>
      <c r="P9" s="3" t="e">
        <f>VLOOKUP($H9,#REF!,2,0)&amp;"-"&amp;VLOOKUP($I9,#REF!,2,0)</f>
        <v>#REF!</v>
      </c>
    </row>
    <row r="10" spans="2:16" s="2" customFormat="1" ht="43.5" x14ac:dyDescent="0.35">
      <c r="B10" s="3">
        <f t="shared" si="0"/>
        <v>8</v>
      </c>
      <c r="C10" s="3" t="s">
        <v>6</v>
      </c>
      <c r="D10" s="12" t="s">
        <v>12</v>
      </c>
      <c r="E10" s="3" t="s">
        <v>16</v>
      </c>
      <c r="F10" s="3" t="s">
        <v>109</v>
      </c>
      <c r="G10" s="3" t="s">
        <v>107</v>
      </c>
      <c r="H10" s="12" t="s">
        <v>41</v>
      </c>
      <c r="I10" s="3" t="s">
        <v>111</v>
      </c>
      <c r="J10" s="3"/>
      <c r="K10" s="3" t="s">
        <v>52</v>
      </c>
      <c r="L10" s="1" t="s">
        <v>171</v>
      </c>
      <c r="M10" s="12" t="s">
        <v>212</v>
      </c>
      <c r="N10" s="3"/>
      <c r="O10" s="3" t="s">
        <v>217</v>
      </c>
      <c r="P10" s="3" t="e">
        <f>VLOOKUP($H10,#REF!,2,0)&amp;"-"&amp;VLOOKUP($I10,#REF!,2,0)</f>
        <v>#REF!</v>
      </c>
    </row>
    <row r="11" spans="2:16" s="2" customFormat="1" ht="43.5" x14ac:dyDescent="0.35">
      <c r="B11" s="3">
        <f t="shared" si="0"/>
        <v>9</v>
      </c>
      <c r="C11" s="3" t="s">
        <v>6</v>
      </c>
      <c r="D11" s="12" t="s">
        <v>12</v>
      </c>
      <c r="E11" s="3" t="s">
        <v>16</v>
      </c>
      <c r="F11" s="3" t="s">
        <v>137</v>
      </c>
      <c r="G11" s="3" t="s">
        <v>107</v>
      </c>
      <c r="H11" s="12" t="s">
        <v>41</v>
      </c>
      <c r="I11" s="3" t="s">
        <v>138</v>
      </c>
      <c r="J11" s="3"/>
      <c r="K11" s="3" t="s">
        <v>52</v>
      </c>
      <c r="L11" s="1" t="s">
        <v>172</v>
      </c>
      <c r="M11" s="12" t="s">
        <v>212</v>
      </c>
      <c r="N11" s="3"/>
      <c r="O11" s="3" t="s">
        <v>217</v>
      </c>
      <c r="P11" s="3" t="e">
        <f>VLOOKUP($H11,#REF!,2,0)&amp;"-"&amp;VLOOKUP($I11,#REF!,2,0)</f>
        <v>#REF!</v>
      </c>
    </row>
    <row r="12" spans="2:16" s="2" customFormat="1" ht="43.5" x14ac:dyDescent="0.35">
      <c r="B12" s="3">
        <f t="shared" si="0"/>
        <v>10</v>
      </c>
      <c r="C12" s="3" t="s">
        <v>6</v>
      </c>
      <c r="D12" s="12" t="s">
        <v>12</v>
      </c>
      <c r="E12" s="3" t="s">
        <v>16</v>
      </c>
      <c r="F12" s="3" t="s">
        <v>186</v>
      </c>
      <c r="G12" s="3" t="s">
        <v>185</v>
      </c>
      <c r="H12" s="12" t="s">
        <v>41</v>
      </c>
      <c r="I12" s="3" t="s">
        <v>187</v>
      </c>
      <c r="J12" s="3"/>
      <c r="K12" s="3"/>
      <c r="L12" s="3"/>
      <c r="M12" s="12" t="s">
        <v>212</v>
      </c>
      <c r="N12" s="3"/>
      <c r="O12" s="3"/>
      <c r="P12" s="3" t="e">
        <f>VLOOKUP($H12,#REF!,2,0)&amp;"-"&amp;VLOOKUP($I12,#REF!,2,0)</f>
        <v>#REF!</v>
      </c>
    </row>
    <row r="13" spans="2:16" s="2" customFormat="1" ht="29" x14ac:dyDescent="0.35">
      <c r="B13" s="3">
        <f t="shared" si="0"/>
        <v>11</v>
      </c>
      <c r="C13" s="3" t="s">
        <v>6</v>
      </c>
      <c r="D13" s="12" t="s">
        <v>103</v>
      </c>
      <c r="E13" s="3" t="s">
        <v>16</v>
      </c>
      <c r="F13" s="3" t="s">
        <v>101</v>
      </c>
      <c r="G13" s="3" t="s">
        <v>102</v>
      </c>
      <c r="H13" s="12" t="s">
        <v>41</v>
      </c>
      <c r="I13" s="3" t="s">
        <v>100</v>
      </c>
      <c r="J13" s="3"/>
      <c r="K13" s="3"/>
      <c r="L13" s="1" t="s">
        <v>173</v>
      </c>
      <c r="M13" s="12" t="s">
        <v>212</v>
      </c>
      <c r="N13" s="3"/>
      <c r="O13" s="3" t="s">
        <v>217</v>
      </c>
      <c r="P13" s="3" t="e">
        <f>VLOOKUP($H13,#REF!,2,0)&amp;"-"&amp;VLOOKUP($I13,#REF!,2,0)</f>
        <v>#REF!</v>
      </c>
    </row>
    <row r="14" spans="2:16" s="2" customFormat="1" ht="87" x14ac:dyDescent="0.35">
      <c r="B14" s="3">
        <f t="shared" si="0"/>
        <v>12</v>
      </c>
      <c r="C14" s="3" t="s">
        <v>6</v>
      </c>
      <c r="D14" s="13" t="s">
        <v>10</v>
      </c>
      <c r="E14" s="13" t="s">
        <v>11</v>
      </c>
      <c r="F14" s="14" t="s">
        <v>44</v>
      </c>
      <c r="G14" s="14" t="s">
        <v>50</v>
      </c>
      <c r="H14" s="13" t="s">
        <v>175</v>
      </c>
      <c r="I14" s="19" t="s">
        <v>218</v>
      </c>
      <c r="J14" s="19" t="s">
        <v>224</v>
      </c>
      <c r="K14" s="13" t="s">
        <v>52</v>
      </c>
      <c r="L14" s="14" t="s">
        <v>219</v>
      </c>
      <c r="M14" s="12" t="s">
        <v>212</v>
      </c>
      <c r="N14" s="3"/>
      <c r="O14" s="13" t="s">
        <v>146</v>
      </c>
      <c r="P14" s="3" t="e">
        <f>VLOOKUP($H14,#REF!,2,0)&amp;"-"&amp;VLOOKUP($I14,#REF!,2,0)</f>
        <v>#REF!</v>
      </c>
    </row>
    <row r="15" spans="2:16" s="2" customFormat="1" ht="58" x14ac:dyDescent="0.35">
      <c r="B15" s="3">
        <f t="shared" si="0"/>
        <v>13</v>
      </c>
      <c r="C15" s="3" t="s">
        <v>6</v>
      </c>
      <c r="D15" s="13" t="s">
        <v>10</v>
      </c>
      <c r="E15" s="13" t="s">
        <v>11</v>
      </c>
      <c r="F15" s="14" t="s">
        <v>44</v>
      </c>
      <c r="G15" s="14" t="s">
        <v>51</v>
      </c>
      <c r="H15" s="13" t="s">
        <v>175</v>
      </c>
      <c r="I15" s="12" t="s">
        <v>41</v>
      </c>
      <c r="J15" s="12" t="s">
        <v>224</v>
      </c>
      <c r="K15" s="13" t="s">
        <v>52</v>
      </c>
      <c r="L15" s="14"/>
      <c r="M15" s="12" t="s">
        <v>214</v>
      </c>
      <c r="N15" s="12" t="s">
        <v>214</v>
      </c>
      <c r="O15" s="13"/>
      <c r="P15" s="3" t="e">
        <f>VLOOKUP($H15,#REF!,2,0)&amp;"-"&amp;VLOOKUP($I15,#REF!,2,0)</f>
        <v>#REF!</v>
      </c>
    </row>
    <row r="16" spans="2:16" s="2" customFormat="1" ht="29" x14ac:dyDescent="0.35">
      <c r="B16" s="3">
        <f t="shared" si="0"/>
        <v>14</v>
      </c>
      <c r="C16" s="3" t="s">
        <v>6</v>
      </c>
      <c r="D16" s="14" t="s">
        <v>17</v>
      </c>
      <c r="E16" s="14" t="s">
        <v>18</v>
      </c>
      <c r="F16" s="14" t="s">
        <v>19</v>
      </c>
      <c r="G16" s="15" t="s">
        <v>20</v>
      </c>
      <c r="H16" s="21" t="s">
        <v>49</v>
      </c>
      <c r="I16" s="21" t="s">
        <v>176</v>
      </c>
      <c r="J16" s="21" t="s">
        <v>224</v>
      </c>
      <c r="K16" s="14" t="s">
        <v>53</v>
      </c>
      <c r="L16" s="14"/>
      <c r="M16" s="12"/>
      <c r="N16" s="3"/>
      <c r="O16" s="14" t="s">
        <v>146</v>
      </c>
      <c r="P16" s="3" t="e">
        <f>VLOOKUP($H16,#REF!,2,0)&amp;"-"&amp;VLOOKUP($I16,#REF!,2,0)</f>
        <v>#REF!</v>
      </c>
    </row>
    <row r="17" spans="2:18" s="2" customFormat="1" ht="72.5" x14ac:dyDescent="0.35">
      <c r="B17" s="3">
        <f t="shared" si="0"/>
        <v>15</v>
      </c>
      <c r="C17" s="3" t="s">
        <v>6</v>
      </c>
      <c r="D17" s="14" t="s">
        <v>17</v>
      </c>
      <c r="E17" s="14" t="s">
        <v>54</v>
      </c>
      <c r="F17" s="14" t="s">
        <v>54</v>
      </c>
      <c r="G17" s="3" t="s">
        <v>80</v>
      </c>
      <c r="H17" s="21" t="s">
        <v>176</v>
      </c>
      <c r="I17" s="20" t="s">
        <v>55</v>
      </c>
      <c r="J17" s="20" t="s">
        <v>224</v>
      </c>
      <c r="K17" s="14" t="s">
        <v>53</v>
      </c>
      <c r="L17" s="14"/>
      <c r="M17" s="12"/>
      <c r="N17" s="3"/>
      <c r="O17" s="14"/>
      <c r="P17" s="3" t="e">
        <f>VLOOKUP($H17,#REF!,2,0)&amp;"-"&amp;VLOOKUP($I17,#REF!,2,0)</f>
        <v>#REF!</v>
      </c>
    </row>
    <row r="18" spans="2:18" s="2" customFormat="1" ht="43.5" x14ac:dyDescent="0.35">
      <c r="B18" s="3">
        <f t="shared" si="0"/>
        <v>16</v>
      </c>
      <c r="C18" s="3" t="s">
        <v>6</v>
      </c>
      <c r="D18" s="14" t="s">
        <v>17</v>
      </c>
      <c r="E18" s="14" t="s">
        <v>21</v>
      </c>
      <c r="F18" s="14" t="s">
        <v>88</v>
      </c>
      <c r="G18" s="16" t="s">
        <v>153</v>
      </c>
      <c r="H18" s="12" t="s">
        <v>57</v>
      </c>
      <c r="I18" s="12" t="s">
        <v>41</v>
      </c>
      <c r="J18" s="12" t="s">
        <v>224</v>
      </c>
      <c r="K18" s="13" t="s">
        <v>52</v>
      </c>
      <c r="L18" s="14"/>
      <c r="M18" s="12" t="s">
        <v>214</v>
      </c>
      <c r="N18" s="12" t="s">
        <v>214</v>
      </c>
      <c r="O18" s="14"/>
      <c r="P18" s="3" t="e">
        <f>VLOOKUP($H18,#REF!,2,0)&amp;"-"&amp;VLOOKUP($I18,#REF!,2,0)</f>
        <v>#REF!</v>
      </c>
    </row>
    <row r="19" spans="2:18" s="2" customFormat="1" ht="58" x14ac:dyDescent="0.35">
      <c r="B19" s="3">
        <f t="shared" si="0"/>
        <v>17</v>
      </c>
      <c r="C19" s="3" t="s">
        <v>6</v>
      </c>
      <c r="D19" s="14" t="s">
        <v>17</v>
      </c>
      <c r="E19" s="14" t="s">
        <v>21</v>
      </c>
      <c r="F19" s="14" t="s">
        <v>90</v>
      </c>
      <c r="G19" s="16" t="s">
        <v>154</v>
      </c>
      <c r="H19" s="12" t="s">
        <v>58</v>
      </c>
      <c r="I19" s="12" t="s">
        <v>41</v>
      </c>
      <c r="J19" s="12" t="s">
        <v>224</v>
      </c>
      <c r="K19" s="14" t="s">
        <v>56</v>
      </c>
      <c r="L19" s="14" t="s">
        <v>131</v>
      </c>
      <c r="M19" s="12" t="s">
        <v>214</v>
      </c>
      <c r="N19" s="12" t="s">
        <v>214</v>
      </c>
      <c r="O19" s="14"/>
      <c r="P19" s="3" t="e">
        <f>VLOOKUP($H19,#REF!,2,0)&amp;"-"&amp;VLOOKUP($I19,#REF!,2,0)</f>
        <v>#REF!</v>
      </c>
    </row>
    <row r="20" spans="2:18" s="2" customFormat="1" ht="72.5" x14ac:dyDescent="0.35">
      <c r="B20" s="3">
        <f t="shared" si="0"/>
        <v>18</v>
      </c>
      <c r="C20" s="3" t="s">
        <v>6</v>
      </c>
      <c r="D20" s="14" t="s">
        <v>17</v>
      </c>
      <c r="E20" s="14" t="s">
        <v>21</v>
      </c>
      <c r="F20" s="14" t="s">
        <v>89</v>
      </c>
      <c r="G20" s="16" t="s">
        <v>155</v>
      </c>
      <c r="H20" s="12" t="s">
        <v>59</v>
      </c>
      <c r="I20" s="12" t="s">
        <v>41</v>
      </c>
      <c r="J20" s="12" t="s">
        <v>224</v>
      </c>
      <c r="K20" s="14" t="s">
        <v>56</v>
      </c>
      <c r="L20" s="14" t="s">
        <v>131</v>
      </c>
      <c r="M20" s="12" t="s">
        <v>215</v>
      </c>
      <c r="N20" s="12"/>
      <c r="O20" s="14" t="s">
        <v>216</v>
      </c>
      <c r="P20" s="3" t="e">
        <f>VLOOKUP($H20,#REF!,2,0)&amp;"-"&amp;VLOOKUP($I20,#REF!,2,0)</f>
        <v>#REF!</v>
      </c>
      <c r="R20"/>
    </row>
    <row r="21" spans="2:18" s="2" customFormat="1" ht="29" x14ac:dyDescent="0.35">
      <c r="B21" s="3">
        <f t="shared" si="0"/>
        <v>19</v>
      </c>
      <c r="C21" s="3" t="s">
        <v>6</v>
      </c>
      <c r="D21" s="14" t="s">
        <v>17</v>
      </c>
      <c r="E21" s="14" t="s">
        <v>21</v>
      </c>
      <c r="F21" s="14" t="s">
        <v>133</v>
      </c>
      <c r="G21" s="16" t="s">
        <v>132</v>
      </c>
      <c r="H21" s="12" t="s">
        <v>79</v>
      </c>
      <c r="I21" s="12" t="s">
        <v>48</v>
      </c>
      <c r="J21" s="12" t="s">
        <v>230</v>
      </c>
      <c r="K21" s="13" t="s">
        <v>52</v>
      </c>
      <c r="L21" s="14" t="s">
        <v>131</v>
      </c>
      <c r="M21" s="12" t="s">
        <v>212</v>
      </c>
      <c r="N21" s="3"/>
      <c r="O21" s="14"/>
      <c r="P21" s="3" t="e">
        <f>VLOOKUP($H21,#REF!,2,0)&amp;"-"&amp;VLOOKUP($I21,#REF!,2,0)</f>
        <v>#REF!</v>
      </c>
      <c r="R21"/>
    </row>
    <row r="22" spans="2:18" s="2" customFormat="1" ht="87" x14ac:dyDescent="0.35">
      <c r="B22" s="3">
        <f t="shared" si="0"/>
        <v>20</v>
      </c>
      <c r="C22" s="3" t="s">
        <v>6</v>
      </c>
      <c r="D22" s="14" t="s">
        <v>17</v>
      </c>
      <c r="E22" s="14" t="s">
        <v>21</v>
      </c>
      <c r="F22" s="14" t="s">
        <v>75</v>
      </c>
      <c r="G22" s="16" t="s">
        <v>81</v>
      </c>
      <c r="H22" s="12" t="s">
        <v>41</v>
      </c>
      <c r="I22" s="12" t="s">
        <v>77</v>
      </c>
      <c r="J22" s="12" t="s">
        <v>227</v>
      </c>
      <c r="K22" s="14" t="s">
        <v>52</v>
      </c>
      <c r="L22" s="14" t="s">
        <v>131</v>
      </c>
      <c r="M22" s="12" t="s">
        <v>212</v>
      </c>
      <c r="N22" s="3"/>
      <c r="O22" s="14" t="s">
        <v>177</v>
      </c>
      <c r="P22" s="3" t="e">
        <f>VLOOKUP($H22,#REF!,2,0)&amp;"-"&amp;VLOOKUP($I22,#REF!,2,0)</f>
        <v>#REF!</v>
      </c>
      <c r="R22"/>
    </row>
    <row r="23" spans="2:18" s="2" customFormat="1" ht="43.5" x14ac:dyDescent="0.35">
      <c r="B23" s="3">
        <f t="shared" si="0"/>
        <v>21</v>
      </c>
      <c r="C23" s="3" t="s">
        <v>6</v>
      </c>
      <c r="D23" s="14" t="s">
        <v>17</v>
      </c>
      <c r="E23" s="14" t="s">
        <v>21</v>
      </c>
      <c r="F23" s="14" t="s">
        <v>147</v>
      </c>
      <c r="G23" s="16" t="s">
        <v>149</v>
      </c>
      <c r="H23" s="12" t="s">
        <v>77</v>
      </c>
      <c r="I23" s="12" t="s">
        <v>148</v>
      </c>
      <c r="J23" s="12" t="s">
        <v>227</v>
      </c>
      <c r="K23" s="14" t="s">
        <v>52</v>
      </c>
      <c r="L23" s="14" t="s">
        <v>131</v>
      </c>
      <c r="M23" s="12" t="s">
        <v>212</v>
      </c>
      <c r="N23" s="3"/>
      <c r="O23" s="14" t="s">
        <v>177</v>
      </c>
      <c r="P23" s="3" t="e">
        <f>VLOOKUP($H23,#REF!,2,0)&amp;"-"&amp;VLOOKUP($I23,#REF!,2,0)</f>
        <v>#REF!</v>
      </c>
      <c r="R23"/>
    </row>
    <row r="24" spans="2:18" s="2" customFormat="1" ht="72.5" x14ac:dyDescent="0.35">
      <c r="B24" s="3">
        <f t="shared" si="0"/>
        <v>22</v>
      </c>
      <c r="C24" s="3" t="s">
        <v>6</v>
      </c>
      <c r="D24" s="14" t="s">
        <v>17</v>
      </c>
      <c r="E24" s="14" t="s">
        <v>21</v>
      </c>
      <c r="F24" s="14" t="s">
        <v>22</v>
      </c>
      <c r="G24" s="16" t="s">
        <v>156</v>
      </c>
      <c r="H24" s="12" t="s">
        <v>41</v>
      </c>
      <c r="I24" s="12" t="s">
        <v>57</v>
      </c>
      <c r="J24" s="12" t="s">
        <v>227</v>
      </c>
      <c r="K24" s="14" t="s">
        <v>52</v>
      </c>
      <c r="L24" s="14" t="s">
        <v>131</v>
      </c>
      <c r="M24" s="12" t="s">
        <v>212</v>
      </c>
      <c r="N24" s="3"/>
      <c r="O24" s="14" t="s">
        <v>157</v>
      </c>
      <c r="P24" s="3" t="e">
        <f>VLOOKUP($H24,#REF!,2,0)&amp;"-"&amp;VLOOKUP($I24,#REF!,2,0)</f>
        <v>#REF!</v>
      </c>
      <c r="R24"/>
    </row>
    <row r="25" spans="2:18" s="2" customFormat="1" ht="72.5" x14ac:dyDescent="0.35">
      <c r="B25" s="3">
        <f t="shared" si="0"/>
        <v>23</v>
      </c>
      <c r="C25" s="3" t="s">
        <v>6</v>
      </c>
      <c r="D25" s="14" t="s">
        <v>17</v>
      </c>
      <c r="E25" s="14" t="s">
        <v>21</v>
      </c>
      <c r="F25" s="14" t="s">
        <v>22</v>
      </c>
      <c r="G25" s="16" t="s">
        <v>156</v>
      </c>
      <c r="H25" s="12" t="s">
        <v>41</v>
      </c>
      <c r="I25" s="12" t="s">
        <v>59</v>
      </c>
      <c r="J25" s="12" t="s">
        <v>227</v>
      </c>
      <c r="K25" s="14" t="s">
        <v>52</v>
      </c>
      <c r="L25" s="14" t="s">
        <v>131</v>
      </c>
      <c r="M25" s="12" t="s">
        <v>212</v>
      </c>
      <c r="N25" s="3"/>
      <c r="O25" s="14" t="s">
        <v>157</v>
      </c>
      <c r="P25" s="3" t="e">
        <f>VLOOKUP($H25,#REF!,2,0)&amp;"-"&amp;VLOOKUP($I25,#REF!,2,0)</f>
        <v>#REF!</v>
      </c>
      <c r="R25"/>
    </row>
    <row r="26" spans="2:18" s="2" customFormat="1" ht="116" x14ac:dyDescent="0.35">
      <c r="B26" s="3">
        <f t="shared" si="0"/>
        <v>24</v>
      </c>
      <c r="C26" s="3" t="s">
        <v>6</v>
      </c>
      <c r="D26" s="14" t="s">
        <v>17</v>
      </c>
      <c r="E26" s="14" t="s">
        <v>21</v>
      </c>
      <c r="F26" s="14" t="s">
        <v>74</v>
      </c>
      <c r="G26" s="16" t="s">
        <v>76</v>
      </c>
      <c r="H26" s="20" t="s">
        <v>77</v>
      </c>
      <c r="I26" s="20" t="s">
        <v>78</v>
      </c>
      <c r="J26" s="20" t="s">
        <v>227</v>
      </c>
      <c r="K26" s="14" t="s">
        <v>52</v>
      </c>
      <c r="L26" s="14"/>
      <c r="M26" s="12" t="s">
        <v>212</v>
      </c>
      <c r="N26" s="3"/>
      <c r="O26" s="14" t="s">
        <v>91</v>
      </c>
      <c r="P26" s="3" t="e">
        <f>VLOOKUP($H26,#REF!,2,0)&amp;"-"&amp;VLOOKUP($I26,#REF!,2,0)</f>
        <v>#REF!</v>
      </c>
      <c r="R26"/>
    </row>
    <row r="27" spans="2:18" s="2" customFormat="1" ht="87" x14ac:dyDescent="0.35">
      <c r="B27" s="3">
        <f t="shared" si="0"/>
        <v>25</v>
      </c>
      <c r="C27" s="3" t="s">
        <v>6</v>
      </c>
      <c r="D27" s="14" t="s">
        <v>17</v>
      </c>
      <c r="E27" s="14" t="s">
        <v>23</v>
      </c>
      <c r="F27" s="14" t="s">
        <v>60</v>
      </c>
      <c r="G27" s="14" t="s">
        <v>82</v>
      </c>
      <c r="H27" s="12" t="s">
        <v>64</v>
      </c>
      <c r="I27" s="12" t="s">
        <v>41</v>
      </c>
      <c r="J27" s="12" t="s">
        <v>224</v>
      </c>
      <c r="K27" s="14" t="s">
        <v>56</v>
      </c>
      <c r="L27" s="14" t="s">
        <v>178</v>
      </c>
      <c r="M27" s="12" t="s">
        <v>214</v>
      </c>
      <c r="N27" s="12" t="s">
        <v>214</v>
      </c>
      <c r="O27" s="14"/>
      <c r="P27" s="3" t="e">
        <f>VLOOKUP($H27,#REF!,2,0)&amp;"-"&amp;VLOOKUP($I27,#REF!,2,0)</f>
        <v>#REF!</v>
      </c>
      <c r="R27"/>
    </row>
    <row r="28" spans="2:18" s="2" customFormat="1" ht="87" x14ac:dyDescent="0.35">
      <c r="B28" s="3">
        <f t="shared" si="0"/>
        <v>26</v>
      </c>
      <c r="C28" s="3" t="s">
        <v>6</v>
      </c>
      <c r="D28" s="14" t="s">
        <v>17</v>
      </c>
      <c r="E28" s="14" t="s">
        <v>23</v>
      </c>
      <c r="F28" s="14" t="s">
        <v>61</v>
      </c>
      <c r="G28" s="3" t="s">
        <v>83</v>
      </c>
      <c r="H28" s="12" t="s">
        <v>65</v>
      </c>
      <c r="I28" s="12" t="s">
        <v>41</v>
      </c>
      <c r="J28" s="12" t="s">
        <v>224</v>
      </c>
      <c r="K28" s="14" t="s">
        <v>56</v>
      </c>
      <c r="L28" s="14" t="s">
        <v>178</v>
      </c>
      <c r="M28" s="12" t="s">
        <v>215</v>
      </c>
      <c r="N28" s="12"/>
      <c r="O28" s="14" t="s">
        <v>216</v>
      </c>
      <c r="P28" s="3" t="e">
        <f>VLOOKUP($H28,#REF!,2,0)&amp;"-"&amp;VLOOKUP($I28,#REF!,2,0)</f>
        <v>#REF!</v>
      </c>
      <c r="R28"/>
    </row>
    <row r="29" spans="2:18" s="2" customFormat="1" ht="72.5" x14ac:dyDescent="0.35">
      <c r="B29" s="3">
        <f t="shared" si="0"/>
        <v>27</v>
      </c>
      <c r="C29" s="3" t="s">
        <v>6</v>
      </c>
      <c r="D29" s="14" t="s">
        <v>17</v>
      </c>
      <c r="E29" s="14" t="s">
        <v>23</v>
      </c>
      <c r="F29" s="14" t="s">
        <v>62</v>
      </c>
      <c r="G29" s="14" t="s">
        <v>84</v>
      </c>
      <c r="H29" s="12" t="s">
        <v>63</v>
      </c>
      <c r="I29" s="12" t="s">
        <v>41</v>
      </c>
      <c r="J29" s="12" t="s">
        <v>224</v>
      </c>
      <c r="K29" s="14" t="s">
        <v>56</v>
      </c>
      <c r="L29" s="14" t="s">
        <v>179</v>
      </c>
      <c r="M29" s="12" t="s">
        <v>214</v>
      </c>
      <c r="N29" s="12" t="s">
        <v>214</v>
      </c>
      <c r="O29" s="14"/>
      <c r="P29" s="3" t="e">
        <f>VLOOKUP($H29,#REF!,2,0)&amp;"-"&amp;VLOOKUP($I29,#REF!,2,0)</f>
        <v>#REF!</v>
      </c>
      <c r="R29"/>
    </row>
    <row r="30" spans="2:18" s="2" customFormat="1" ht="29" x14ac:dyDescent="0.35">
      <c r="B30" s="3">
        <f t="shared" si="0"/>
        <v>28</v>
      </c>
      <c r="C30" s="3" t="s">
        <v>6</v>
      </c>
      <c r="D30" s="14" t="s">
        <v>17</v>
      </c>
      <c r="E30" s="14" t="s">
        <v>24</v>
      </c>
      <c r="F30" s="14" t="s">
        <v>25</v>
      </c>
      <c r="G30" s="14" t="s">
        <v>26</v>
      </c>
      <c r="H30" s="14" t="s">
        <v>67</v>
      </c>
      <c r="I30" s="12" t="s">
        <v>41</v>
      </c>
      <c r="J30" s="12" t="s">
        <v>225</v>
      </c>
      <c r="K30" s="14"/>
      <c r="L30" s="14"/>
      <c r="M30" s="12" t="s">
        <v>214</v>
      </c>
      <c r="N30" s="12" t="s">
        <v>214</v>
      </c>
      <c r="O30" s="14" t="s">
        <v>220</v>
      </c>
      <c r="P30" s="3" t="e">
        <f>VLOOKUP($H30,#REF!,2,0)&amp;"-"&amp;VLOOKUP($I30,#REF!,2,0)</f>
        <v>#REF!</v>
      </c>
      <c r="R30"/>
    </row>
    <row r="31" spans="2:18" s="2" customFormat="1" ht="58" x14ac:dyDescent="0.35">
      <c r="B31" s="3">
        <f t="shared" si="0"/>
        <v>29</v>
      </c>
      <c r="C31" s="3" t="s">
        <v>6</v>
      </c>
      <c r="D31" s="14" t="s">
        <v>17</v>
      </c>
      <c r="E31" s="14" t="s">
        <v>24</v>
      </c>
      <c r="F31" s="14" t="s">
        <v>27</v>
      </c>
      <c r="G31" s="14" t="s">
        <v>85</v>
      </c>
      <c r="H31" s="14" t="s">
        <v>66</v>
      </c>
      <c r="I31" s="12" t="s">
        <v>41</v>
      </c>
      <c r="J31" s="12" t="s">
        <v>225</v>
      </c>
      <c r="K31" s="14"/>
      <c r="L31" s="14"/>
      <c r="M31" s="12" t="s">
        <v>214</v>
      </c>
      <c r="N31" s="12" t="s">
        <v>214</v>
      </c>
      <c r="O31" s="14"/>
      <c r="P31" s="3" t="e">
        <f>VLOOKUP($H31,#REF!,2,0)&amp;"-"&amp;VLOOKUP($I31,#REF!,2,0)</f>
        <v>#REF!</v>
      </c>
      <c r="R31"/>
    </row>
    <row r="32" spans="2:18" s="2" customFormat="1" ht="29" x14ac:dyDescent="0.35">
      <c r="B32" s="3">
        <f t="shared" si="0"/>
        <v>30</v>
      </c>
      <c r="C32" s="3" t="s">
        <v>6</v>
      </c>
      <c r="D32" s="14" t="s">
        <v>17</v>
      </c>
      <c r="E32" s="14" t="s">
        <v>24</v>
      </c>
      <c r="F32" s="14" t="s">
        <v>97</v>
      </c>
      <c r="G32" s="14" t="s">
        <v>180</v>
      </c>
      <c r="H32" s="14" t="s">
        <v>96</v>
      </c>
      <c r="I32" s="12" t="s">
        <v>41</v>
      </c>
      <c r="J32" s="12" t="s">
        <v>227</v>
      </c>
      <c r="K32" s="14"/>
      <c r="L32" s="1" t="s">
        <v>69</v>
      </c>
      <c r="M32" s="12" t="s">
        <v>214</v>
      </c>
      <c r="N32" s="12" t="s">
        <v>214</v>
      </c>
      <c r="O32" s="14"/>
      <c r="P32" s="3" t="e">
        <f>VLOOKUP($H32,#REF!,2,0)&amp;"-"&amp;VLOOKUP($I32,#REF!,2,0)</f>
        <v>#REF!</v>
      </c>
      <c r="R32"/>
    </row>
    <row r="33" spans="2:18" s="2" customFormat="1" ht="29" x14ac:dyDescent="0.35">
      <c r="B33" s="3">
        <f t="shared" si="0"/>
        <v>31</v>
      </c>
      <c r="C33" s="3" t="s">
        <v>6</v>
      </c>
      <c r="D33" s="14" t="s">
        <v>17</v>
      </c>
      <c r="E33" s="14" t="s">
        <v>24</v>
      </c>
      <c r="F33" s="14" t="s">
        <v>98</v>
      </c>
      <c r="G33" s="14" t="s">
        <v>180</v>
      </c>
      <c r="H33" s="14" t="s">
        <v>134</v>
      </c>
      <c r="I33" s="12" t="s">
        <v>41</v>
      </c>
      <c r="J33" s="12" t="s">
        <v>227</v>
      </c>
      <c r="K33" s="14"/>
      <c r="L33" s="14"/>
      <c r="M33" s="12" t="s">
        <v>214</v>
      </c>
      <c r="N33" s="12" t="s">
        <v>214</v>
      </c>
      <c r="O33" s="14"/>
      <c r="P33" s="3" t="e">
        <f>VLOOKUP($H33,#REF!,2,0)&amp;"-"&amp;VLOOKUP($I33,#REF!,2,0)</f>
        <v>#REF!</v>
      </c>
      <c r="R33"/>
    </row>
    <row r="34" spans="2:18" s="2" customFormat="1" ht="101.5" x14ac:dyDescent="0.35">
      <c r="B34" s="3">
        <f t="shared" si="0"/>
        <v>32</v>
      </c>
      <c r="C34" s="3" t="s">
        <v>6</v>
      </c>
      <c r="D34" s="12" t="s">
        <v>7</v>
      </c>
      <c r="E34" s="3" t="s">
        <v>8</v>
      </c>
      <c r="F34" s="3" t="s">
        <v>121</v>
      </c>
      <c r="G34" s="3" t="s">
        <v>135</v>
      </c>
      <c r="H34" s="22" t="s">
        <v>120</v>
      </c>
      <c r="I34" s="22" t="s">
        <v>41</v>
      </c>
      <c r="J34" s="22" t="s">
        <v>225</v>
      </c>
      <c r="K34" s="3"/>
      <c r="L34" s="3"/>
      <c r="M34" s="12" t="s">
        <v>214</v>
      </c>
      <c r="N34" s="12" t="s">
        <v>214</v>
      </c>
      <c r="O34" s="3" t="s">
        <v>43</v>
      </c>
      <c r="P34" s="3" t="e">
        <f>VLOOKUP($H34,#REF!,2,0)&amp;"-"&amp;VLOOKUP($I34,#REF!,2,0)</f>
        <v>#REF!</v>
      </c>
      <c r="R34"/>
    </row>
    <row r="35" spans="2:18" s="2" customFormat="1" ht="72.5" x14ac:dyDescent="0.35">
      <c r="B35" s="3">
        <f t="shared" si="0"/>
        <v>33</v>
      </c>
      <c r="C35" s="3" t="s">
        <v>6</v>
      </c>
      <c r="D35" s="12" t="s">
        <v>7</v>
      </c>
      <c r="E35" s="3" t="s">
        <v>8</v>
      </c>
      <c r="F35" s="14" t="s">
        <v>122</v>
      </c>
      <c r="G35" s="3" t="s">
        <v>95</v>
      </c>
      <c r="H35" s="12" t="s">
        <v>94</v>
      </c>
      <c r="I35" s="12" t="s">
        <v>41</v>
      </c>
      <c r="J35" s="12" t="s">
        <v>224</v>
      </c>
      <c r="K35" s="14" t="s">
        <v>56</v>
      </c>
      <c r="L35" s="1" t="s">
        <v>129</v>
      </c>
      <c r="M35" s="12" t="s">
        <v>215</v>
      </c>
      <c r="N35" s="12"/>
      <c r="O35" s="14" t="s">
        <v>216</v>
      </c>
      <c r="P35" s="3" t="e">
        <f>VLOOKUP($H35,#REF!,2,0)&amp;"-"&amp;VLOOKUP($I35,#REF!,2,0)</f>
        <v>#REF!</v>
      </c>
      <c r="R35"/>
    </row>
    <row r="36" spans="2:18" s="2" customFormat="1" ht="58" x14ac:dyDescent="0.35">
      <c r="B36" s="3">
        <f t="shared" si="0"/>
        <v>34</v>
      </c>
      <c r="C36" s="3" t="s">
        <v>6</v>
      </c>
      <c r="D36" s="12" t="s">
        <v>7</v>
      </c>
      <c r="E36" s="3" t="s">
        <v>9</v>
      </c>
      <c r="F36" s="3" t="s">
        <v>92</v>
      </c>
      <c r="G36" s="3" t="s">
        <v>93</v>
      </c>
      <c r="H36" s="20" t="s">
        <v>127</v>
      </c>
      <c r="I36" s="22" t="s">
        <v>41</v>
      </c>
      <c r="J36" s="22" t="s">
        <v>226</v>
      </c>
      <c r="K36" s="3"/>
      <c r="L36" s="3" t="s">
        <v>123</v>
      </c>
      <c r="M36" s="12" t="s">
        <v>214</v>
      </c>
      <c r="N36" s="12" t="s">
        <v>214</v>
      </c>
      <c r="O36" s="3" t="s">
        <v>128</v>
      </c>
      <c r="P36" s="3" t="e">
        <f>VLOOKUP($H36,#REF!,2,0)&amp;"-"&amp;VLOOKUP($I36,#REF!,2,0)</f>
        <v>#REF!</v>
      </c>
      <c r="R36"/>
    </row>
    <row r="37" spans="2:18" s="2" customFormat="1" ht="72.5" x14ac:dyDescent="0.35">
      <c r="B37" s="3">
        <f t="shared" si="0"/>
        <v>35</v>
      </c>
      <c r="C37" s="3" t="s">
        <v>6</v>
      </c>
      <c r="D37" s="14" t="s">
        <v>112</v>
      </c>
      <c r="E37" s="14" t="s">
        <v>114</v>
      </c>
      <c r="F37" s="14" t="s">
        <v>115</v>
      </c>
      <c r="G37" s="14" t="s">
        <v>116</v>
      </c>
      <c r="H37" s="21" t="s">
        <v>113</v>
      </c>
      <c r="I37" s="20" t="s">
        <v>41</v>
      </c>
      <c r="J37" s="20" t="s">
        <v>222</v>
      </c>
      <c r="K37" s="14"/>
      <c r="L37" s="14"/>
      <c r="M37" s="12" t="s">
        <v>214</v>
      </c>
      <c r="N37" s="12" t="s">
        <v>214</v>
      </c>
      <c r="O37" s="14" t="s">
        <v>223</v>
      </c>
      <c r="P37" s="3" t="e">
        <f>VLOOKUP($H37,#REF!,2,0)&amp;"-"&amp;VLOOKUP($I37,#REF!,2,0)</f>
        <v>#REF!</v>
      </c>
      <c r="R37"/>
    </row>
    <row r="38" spans="2:18" s="2" customFormat="1" ht="43.5" x14ac:dyDescent="0.35">
      <c r="B38" s="3">
        <f t="shared" si="0"/>
        <v>36</v>
      </c>
      <c r="C38" s="3" t="s">
        <v>6</v>
      </c>
      <c r="D38" s="14" t="s">
        <v>112</v>
      </c>
      <c r="E38" s="14" t="s">
        <v>196</v>
      </c>
      <c r="F38" s="14" t="s">
        <v>117</v>
      </c>
      <c r="G38" s="14" t="s">
        <v>118</v>
      </c>
      <c r="H38" s="21" t="s">
        <v>119</v>
      </c>
      <c r="I38" s="20" t="s">
        <v>41</v>
      </c>
      <c r="J38" s="20" t="s">
        <v>222</v>
      </c>
      <c r="K38" s="14"/>
      <c r="L38" s="14"/>
      <c r="M38" s="12" t="s">
        <v>214</v>
      </c>
      <c r="N38" s="12" t="s">
        <v>214</v>
      </c>
      <c r="O38" s="14"/>
      <c r="P38" s="3" t="e">
        <f>VLOOKUP($H38,#REF!,2,0)&amp;"-"&amp;VLOOKUP($I38,#REF!,2,0)</f>
        <v>#REF!</v>
      </c>
      <c r="R38"/>
    </row>
    <row r="39" spans="2:18" s="2" customFormat="1" ht="43.5" x14ac:dyDescent="0.35">
      <c r="B39" s="3">
        <f t="shared" si="0"/>
        <v>37</v>
      </c>
      <c r="C39" s="3" t="s">
        <v>6</v>
      </c>
      <c r="D39" s="14" t="s">
        <v>136</v>
      </c>
      <c r="E39" s="14" t="s">
        <v>70</v>
      </c>
      <c r="F39" s="14" t="s">
        <v>71</v>
      </c>
      <c r="G39" s="14" t="s">
        <v>72</v>
      </c>
      <c r="H39" s="12" t="s">
        <v>41</v>
      </c>
      <c r="I39" s="14" t="s">
        <v>73</v>
      </c>
      <c r="J39" s="14" t="s">
        <v>225</v>
      </c>
      <c r="K39" s="14"/>
      <c r="L39" s="14" t="s">
        <v>130</v>
      </c>
      <c r="M39" s="12" t="s">
        <v>212</v>
      </c>
      <c r="N39" s="3"/>
      <c r="O39" s="14"/>
      <c r="P39" s="3" t="e">
        <f>VLOOKUP($H39,#REF!,2,0)&amp;"-"&amp;VLOOKUP($I39,#REF!,2,0)</f>
        <v>#REF!</v>
      </c>
      <c r="R39"/>
    </row>
    <row r="40" spans="2:18" s="2" customFormat="1" ht="58" x14ac:dyDescent="0.35">
      <c r="B40" s="3">
        <f t="shared" si="0"/>
        <v>38</v>
      </c>
      <c r="C40" s="3" t="s">
        <v>6</v>
      </c>
      <c r="D40" s="14" t="s">
        <v>139</v>
      </c>
      <c r="E40" s="14" t="s">
        <v>163</v>
      </c>
      <c r="F40" s="14" t="s">
        <v>164</v>
      </c>
      <c r="G40" s="14" t="s">
        <v>165</v>
      </c>
      <c r="H40" s="12" t="s">
        <v>41</v>
      </c>
      <c r="I40" s="14" t="s">
        <v>166</v>
      </c>
      <c r="J40" s="14" t="s">
        <v>225</v>
      </c>
      <c r="K40" s="14"/>
      <c r="L40" s="14" t="s">
        <v>167</v>
      </c>
      <c r="M40" s="12" t="s">
        <v>212</v>
      </c>
      <c r="N40" s="3"/>
      <c r="O40" s="14"/>
      <c r="P40" s="3" t="e">
        <f>VLOOKUP($H40,#REF!,2,0)&amp;"-"&amp;VLOOKUP($I40,#REF!,2,0)</f>
        <v>#REF!</v>
      </c>
      <c r="R40"/>
    </row>
    <row r="41" spans="2:18" s="2" customFormat="1" ht="43.5" x14ac:dyDescent="0.35">
      <c r="B41" s="3">
        <f t="shared" si="0"/>
        <v>39</v>
      </c>
      <c r="C41" s="3" t="s">
        <v>6</v>
      </c>
      <c r="D41" s="14" t="s">
        <v>150</v>
      </c>
      <c r="E41" s="14" t="s">
        <v>150</v>
      </c>
      <c r="F41" s="14" t="s">
        <v>161</v>
      </c>
      <c r="G41" s="3" t="s">
        <v>151</v>
      </c>
      <c r="H41" s="12" t="s">
        <v>41</v>
      </c>
      <c r="I41" s="12" t="s">
        <v>152</v>
      </c>
      <c r="J41" s="12" t="s">
        <v>235</v>
      </c>
      <c r="K41" s="14"/>
      <c r="L41" s="14" t="s">
        <v>140</v>
      </c>
      <c r="M41" s="14" t="s">
        <v>212</v>
      </c>
      <c r="N41" s="3"/>
      <c r="O41" s="14"/>
      <c r="P41" s="3" t="e">
        <f>VLOOKUP($H41,#REF!,2,0)&amp;"-"&amp;VLOOKUP($I41,#REF!,2,0)</f>
        <v>#REF!</v>
      </c>
      <c r="R41"/>
    </row>
    <row r="42" spans="2:18" s="2" customFormat="1" ht="29" x14ac:dyDescent="0.35">
      <c r="B42" s="3">
        <f t="shared" si="0"/>
        <v>40</v>
      </c>
      <c r="C42" s="3" t="s">
        <v>6</v>
      </c>
      <c r="D42" s="14" t="s">
        <v>158</v>
      </c>
      <c r="E42" s="3" t="s">
        <v>142</v>
      </c>
      <c r="F42" s="14" t="s">
        <v>160</v>
      </c>
      <c r="G42" s="3" t="s">
        <v>143</v>
      </c>
      <c r="H42" s="12" t="s">
        <v>41</v>
      </c>
      <c r="I42" s="12" t="s">
        <v>159</v>
      </c>
      <c r="J42" s="12" t="s">
        <v>222</v>
      </c>
      <c r="K42" s="14"/>
      <c r="L42" s="14" t="s">
        <v>141</v>
      </c>
      <c r="M42" s="14" t="s">
        <v>212</v>
      </c>
      <c r="N42" s="3"/>
      <c r="O42" s="14"/>
      <c r="P42" s="3" t="e">
        <f>VLOOKUP($H42,#REF!,2,0)&amp;"-"&amp;VLOOKUP($I42,#REF!,2,0)</f>
        <v>#REF!</v>
      </c>
      <c r="R42"/>
    </row>
    <row r="43" spans="2:18" s="2" customFormat="1" ht="43.5" x14ac:dyDescent="0.35">
      <c r="B43" s="3">
        <f t="shared" si="0"/>
        <v>41</v>
      </c>
      <c r="C43" s="3" t="s">
        <v>6</v>
      </c>
      <c r="D43" s="14" t="s">
        <v>145</v>
      </c>
      <c r="E43" s="14" t="s">
        <v>194</v>
      </c>
      <c r="F43" s="14" t="s">
        <v>195</v>
      </c>
      <c r="G43" s="3" t="s">
        <v>168</v>
      </c>
      <c r="H43" s="3" t="s">
        <v>41</v>
      </c>
      <c r="I43" s="3" t="s">
        <v>162</v>
      </c>
      <c r="J43" s="3" t="s">
        <v>225</v>
      </c>
      <c r="K43" s="14"/>
      <c r="L43" s="14" t="s">
        <v>144</v>
      </c>
      <c r="M43" s="14" t="s">
        <v>212</v>
      </c>
      <c r="N43" s="3"/>
      <c r="O43" s="14"/>
      <c r="P43" s="3" t="e">
        <f>VLOOKUP($H43,#REF!,2,0)&amp;"-"&amp;VLOOKUP($I43,#REF!,2,0)</f>
        <v>#REF!</v>
      </c>
      <c r="R43"/>
    </row>
    <row r="44" spans="2:18" s="2" customFormat="1" ht="29" x14ac:dyDescent="0.35">
      <c r="B44" s="3">
        <f t="shared" si="0"/>
        <v>42</v>
      </c>
      <c r="C44" s="3" t="s">
        <v>28</v>
      </c>
      <c r="D44" s="14" t="s">
        <v>29</v>
      </c>
      <c r="E44" s="14" t="s">
        <v>30</v>
      </c>
      <c r="F44" s="14" t="s">
        <v>31</v>
      </c>
      <c r="G44" s="14" t="s">
        <v>32</v>
      </c>
      <c r="H44" s="21" t="s">
        <v>99</v>
      </c>
      <c r="I44" s="21" t="s">
        <v>197</v>
      </c>
      <c r="J44" s="21" t="s">
        <v>233</v>
      </c>
      <c r="K44" s="14"/>
      <c r="L44" s="14"/>
      <c r="M44" s="14"/>
      <c r="N44" s="3"/>
      <c r="O44" s="14"/>
      <c r="P44" s="3" t="e">
        <f>VLOOKUP($H44,#REF!,2,0)&amp;"-"&amp;VLOOKUP($I44,#REF!,2,0)</f>
        <v>#REF!</v>
      </c>
    </row>
    <row r="45" spans="2:18" s="2" customFormat="1" ht="72.5" x14ac:dyDescent="0.35">
      <c r="B45" s="3">
        <f t="shared" si="0"/>
        <v>43</v>
      </c>
      <c r="C45" s="3" t="s">
        <v>28</v>
      </c>
      <c r="D45" s="14" t="s">
        <v>29</v>
      </c>
      <c r="E45" s="14" t="s">
        <v>33</v>
      </c>
      <c r="F45" s="14" t="s">
        <v>34</v>
      </c>
      <c r="G45" s="14" t="s">
        <v>193</v>
      </c>
      <c r="H45" s="21" t="s">
        <v>188</v>
      </c>
      <c r="I45" s="21" t="s">
        <v>192</v>
      </c>
      <c r="J45" s="21" t="s">
        <v>234</v>
      </c>
      <c r="K45" s="14"/>
      <c r="L45" s="14"/>
      <c r="M45" s="14"/>
      <c r="N45" s="3"/>
      <c r="O45" s="14"/>
      <c r="P45" s="3" t="e">
        <f>VLOOKUP($H45,#REF!,2,0)&amp;"-"&amp;VLOOKUP($I45,#REF!,2,0)</f>
        <v>#REF!</v>
      </c>
    </row>
    <row r="46" spans="2:18" s="2" customFormat="1" ht="43.5" x14ac:dyDescent="0.35">
      <c r="B46" s="3">
        <f t="shared" si="0"/>
        <v>44</v>
      </c>
      <c r="C46" s="3" t="s">
        <v>28</v>
      </c>
      <c r="D46" s="14" t="s">
        <v>29</v>
      </c>
      <c r="E46" s="14" t="s">
        <v>35</v>
      </c>
      <c r="F46" s="14" t="s">
        <v>36</v>
      </c>
      <c r="G46" s="14" t="s">
        <v>37</v>
      </c>
      <c r="H46" s="21" t="s">
        <v>99</v>
      </c>
      <c r="I46" s="21" t="s">
        <v>189</v>
      </c>
      <c r="J46" s="21" t="s">
        <v>233</v>
      </c>
      <c r="K46" s="14"/>
      <c r="L46" s="14"/>
      <c r="M46" s="14"/>
      <c r="N46" s="3"/>
      <c r="O46" s="14"/>
      <c r="P46" s="3" t="e">
        <f>VLOOKUP($H46,#REF!,2,0)&amp;"-"&amp;VLOOKUP($I46,#REF!,2,0)</f>
        <v>#REF!</v>
      </c>
    </row>
    <row r="47" spans="2:18" s="2" customFormat="1" ht="29" x14ac:dyDescent="0.35">
      <c r="B47" s="3">
        <f t="shared" si="0"/>
        <v>45</v>
      </c>
      <c r="C47" s="3" t="s">
        <v>28</v>
      </c>
      <c r="D47" s="13" t="s">
        <v>10</v>
      </c>
      <c r="E47" s="14" t="s">
        <v>38</v>
      </c>
      <c r="F47" s="14" t="s">
        <v>39</v>
      </c>
      <c r="G47" s="14" t="s">
        <v>190</v>
      </c>
      <c r="H47" s="14" t="s">
        <v>99</v>
      </c>
      <c r="I47" s="3" t="s">
        <v>48</v>
      </c>
      <c r="J47" s="3" t="s">
        <v>232</v>
      </c>
      <c r="K47" s="14"/>
      <c r="L47" s="14"/>
      <c r="M47" s="14"/>
      <c r="N47" s="3"/>
      <c r="O47" s="14"/>
      <c r="P47" s="3" t="e">
        <f>VLOOKUP($H47,#REF!,2,0)&amp;"-"&amp;VLOOKUP($I47,#REF!,2,0)</f>
        <v>#REF!</v>
      </c>
    </row>
    <row r="48" spans="2:18" s="2" customFormat="1" ht="29" x14ac:dyDescent="0.35">
      <c r="B48" s="3">
        <f t="shared" si="0"/>
        <v>46</v>
      </c>
      <c r="C48" s="3" t="s">
        <v>28</v>
      </c>
      <c r="D48" s="14" t="s">
        <v>10</v>
      </c>
      <c r="E48" s="14" t="s">
        <v>38</v>
      </c>
      <c r="F48" s="14" t="s">
        <v>39</v>
      </c>
      <c r="G48" s="14" t="s">
        <v>190</v>
      </c>
      <c r="H48" s="14" t="s">
        <v>99</v>
      </c>
      <c r="I48" s="3" t="s">
        <v>191</v>
      </c>
      <c r="J48" s="3" t="s">
        <v>232</v>
      </c>
      <c r="K48" s="14"/>
      <c r="L48" s="14"/>
      <c r="M48" s="14"/>
      <c r="N48" s="3"/>
      <c r="O48" s="14"/>
      <c r="P48" s="3" t="e">
        <f>VLOOKUP($H48,#REF!,2,0)&amp;"-"&amp;VLOOKUP($I48,#REF!,2,0)</f>
        <v>#REF!</v>
      </c>
    </row>
    <row r="49" spans="2:16" ht="29" x14ac:dyDescent="0.35">
      <c r="B49" s="3">
        <f t="shared" si="0"/>
        <v>47</v>
      </c>
      <c r="C49" s="3" t="s">
        <v>28</v>
      </c>
      <c r="D49" s="13" t="s">
        <v>10</v>
      </c>
      <c r="E49" s="14" t="s">
        <v>38</v>
      </c>
      <c r="F49" s="14" t="s">
        <v>39</v>
      </c>
      <c r="G49" s="14" t="s">
        <v>190</v>
      </c>
      <c r="H49" s="14" t="s">
        <v>99</v>
      </c>
      <c r="I49" s="3" t="s">
        <v>48</v>
      </c>
      <c r="J49" s="3" t="s">
        <v>232</v>
      </c>
      <c r="K49" s="14" t="s">
        <v>52</v>
      </c>
      <c r="L49" s="14"/>
      <c r="M49" s="14"/>
      <c r="N49" s="3"/>
      <c r="O49" s="14"/>
      <c r="P49" s="3" t="str">
        <f>VLOOKUP($H49,[1]list!A:B,2,0)&amp;"-"&amp;VLOOKUP($I49,[1]list!A:B,2,0)</f>
        <v>TCS-EXT</v>
      </c>
    </row>
    <row r="50" spans="2:16" ht="29" x14ac:dyDescent="0.35">
      <c r="B50" s="3">
        <f t="shared" si="0"/>
        <v>48</v>
      </c>
      <c r="C50" s="14" t="s">
        <v>28</v>
      </c>
      <c r="D50" s="14" t="s">
        <v>10</v>
      </c>
      <c r="E50" s="14" t="s">
        <v>38</v>
      </c>
      <c r="F50" s="14" t="s">
        <v>39</v>
      </c>
      <c r="G50" s="14" t="s">
        <v>190</v>
      </c>
      <c r="H50" s="14" t="s">
        <v>99</v>
      </c>
      <c r="I50" s="14" t="s">
        <v>191</v>
      </c>
      <c r="J50" s="3" t="s">
        <v>232</v>
      </c>
      <c r="K50" s="14" t="s">
        <v>52</v>
      </c>
      <c r="L50" s="14"/>
      <c r="M50" s="14"/>
      <c r="N50" s="14"/>
      <c r="O50" s="14"/>
      <c r="P50" s="14" t="str">
        <f>VLOOKUP($H50,[1]list!A:B,2,0)&amp;"-"&amp;VLOOKUP($I50,[1]list!A:B,2,0)</f>
        <v>TCS-EXT</v>
      </c>
    </row>
    <row r="51" spans="2:16" ht="29" x14ac:dyDescent="0.35">
      <c r="B51" s="3">
        <f t="shared" si="0"/>
        <v>49</v>
      </c>
      <c r="C51" s="14" t="s">
        <v>28</v>
      </c>
      <c r="D51" s="14" t="s">
        <v>10</v>
      </c>
      <c r="E51" s="14" t="s">
        <v>38</v>
      </c>
      <c r="F51" s="14" t="s">
        <v>39</v>
      </c>
      <c r="G51" s="14" t="s">
        <v>190</v>
      </c>
      <c r="H51" s="14" t="s">
        <v>99</v>
      </c>
      <c r="I51" s="14" t="s">
        <v>198</v>
      </c>
      <c r="J51" s="3" t="s">
        <v>232</v>
      </c>
      <c r="K51" s="14" t="s">
        <v>52</v>
      </c>
      <c r="L51" s="14"/>
      <c r="M51" s="14"/>
      <c r="N51" s="14"/>
      <c r="O51" s="14"/>
      <c r="P51" s="14" t="str">
        <f>VLOOKUP($H51,[1]list!A:B,2,0)&amp;"-"&amp;VLOOKUP($I51,[1]list!A:B,2,0)</f>
        <v>TCS-EXT</v>
      </c>
    </row>
    <row r="52" spans="2:16" ht="29" x14ac:dyDescent="0.35">
      <c r="B52" s="3">
        <f t="shared" si="0"/>
        <v>50</v>
      </c>
      <c r="C52" s="14" t="s">
        <v>28</v>
      </c>
      <c r="D52" s="14" t="s">
        <v>10</v>
      </c>
      <c r="E52" s="14" t="s">
        <v>38</v>
      </c>
      <c r="F52" s="14" t="s">
        <v>39</v>
      </c>
      <c r="G52" s="14" t="s">
        <v>190</v>
      </c>
      <c r="H52" s="14" t="s">
        <v>99</v>
      </c>
      <c r="I52" s="14" t="s">
        <v>199</v>
      </c>
      <c r="J52" s="3" t="s">
        <v>232</v>
      </c>
      <c r="K52" s="14" t="s">
        <v>52</v>
      </c>
      <c r="L52" s="14"/>
      <c r="M52" s="14"/>
      <c r="N52" s="14"/>
      <c r="O52" s="14"/>
      <c r="P52" s="14" t="str">
        <f>VLOOKUP($H52,[1]list!A:B,2,0)&amp;"-"&amp;VLOOKUP($I52,[1]list!A:B,2,0)</f>
        <v>TCS-EXT</v>
      </c>
    </row>
    <row r="53" spans="2:16" ht="29" x14ac:dyDescent="0.35">
      <c r="B53" s="3">
        <f t="shared" si="0"/>
        <v>51</v>
      </c>
      <c r="C53" s="14" t="s">
        <v>28</v>
      </c>
      <c r="D53" s="14" t="s">
        <v>10</v>
      </c>
      <c r="E53" s="14" t="s">
        <v>38</v>
      </c>
      <c r="F53" s="14" t="s">
        <v>39</v>
      </c>
      <c r="G53" s="14" t="s">
        <v>190</v>
      </c>
      <c r="H53" s="14" t="s">
        <v>99</v>
      </c>
      <c r="I53" s="14" t="s">
        <v>200</v>
      </c>
      <c r="J53" s="3" t="s">
        <v>232</v>
      </c>
      <c r="K53" s="14" t="s">
        <v>52</v>
      </c>
      <c r="L53" s="14"/>
      <c r="M53" s="14"/>
      <c r="N53" s="14"/>
      <c r="O53" s="14"/>
      <c r="P53" s="14" t="str">
        <f>VLOOKUP($H53,[1]list!A:B,2,0)&amp;"-"&amp;VLOOKUP($I53,[1]list!A:B,2,0)</f>
        <v>TCS-EXT</v>
      </c>
    </row>
    <row r="54" spans="2:16" ht="29" x14ac:dyDescent="0.35">
      <c r="B54" s="3">
        <f t="shared" si="0"/>
        <v>52</v>
      </c>
      <c r="C54" s="14" t="s">
        <v>28</v>
      </c>
      <c r="D54" s="14" t="s">
        <v>10</v>
      </c>
      <c r="E54" s="14" t="s">
        <v>38</v>
      </c>
      <c r="F54" s="14" t="s">
        <v>39</v>
      </c>
      <c r="G54" s="14" t="s">
        <v>201</v>
      </c>
      <c r="H54" s="14" t="s">
        <v>99</v>
      </c>
      <c r="I54" s="14" t="s">
        <v>202</v>
      </c>
      <c r="J54" s="3" t="s">
        <v>232</v>
      </c>
      <c r="K54" s="14" t="s">
        <v>52</v>
      </c>
      <c r="L54" s="14"/>
      <c r="M54" s="14"/>
      <c r="N54" s="14"/>
      <c r="O54" s="14"/>
      <c r="P54" s="14" t="str">
        <f>VLOOKUP($H54,[1]list!A:B,2,0)&amp;"-"&amp;VLOOKUP($I54,[1]list!A:B,2,0)</f>
        <v>TCS-EXT</v>
      </c>
    </row>
    <row r="55" spans="2:16" ht="29" x14ac:dyDescent="0.35">
      <c r="B55" s="3">
        <f t="shared" si="0"/>
        <v>53</v>
      </c>
      <c r="C55" s="14" t="s">
        <v>28</v>
      </c>
      <c r="D55" s="14" t="s">
        <v>29</v>
      </c>
      <c r="E55" s="14" t="s">
        <v>30</v>
      </c>
      <c r="F55" s="14" t="s">
        <v>203</v>
      </c>
      <c r="G55" s="14" t="s">
        <v>204</v>
      </c>
      <c r="H55" s="14" t="s">
        <v>99</v>
      </c>
      <c r="I55" s="14" t="s">
        <v>205</v>
      </c>
      <c r="J55" s="14" t="s">
        <v>232</v>
      </c>
      <c r="K55" s="14" t="s">
        <v>52</v>
      </c>
      <c r="L55" s="14"/>
      <c r="M55" s="14"/>
      <c r="N55" s="14"/>
      <c r="O55" s="14"/>
      <c r="P55" s="14" t="str">
        <f>VLOOKUP($H55,[1]list!A:B,2,0)&amp;"-"&amp;VLOOKUP($I55,[1]list!A:B,2,0)</f>
        <v>TCS-EXT</v>
      </c>
    </row>
    <row r="56" spans="2:16" ht="29" x14ac:dyDescent="0.35">
      <c r="B56" s="3">
        <f t="shared" si="0"/>
        <v>54</v>
      </c>
      <c r="C56" s="14" t="s">
        <v>28</v>
      </c>
      <c r="D56" s="14" t="s">
        <v>206</v>
      </c>
      <c r="E56" s="14" t="s">
        <v>207</v>
      </c>
      <c r="F56" s="14" t="s">
        <v>208</v>
      </c>
      <c r="G56" s="14" t="s">
        <v>209</v>
      </c>
      <c r="H56" s="14" t="s">
        <v>99</v>
      </c>
      <c r="I56" s="14" t="s">
        <v>210</v>
      </c>
      <c r="J56" s="14" t="s">
        <v>232</v>
      </c>
      <c r="K56" s="14" t="s">
        <v>52</v>
      </c>
      <c r="L56" s="14"/>
      <c r="M56" s="14"/>
      <c r="N56" s="14"/>
      <c r="O56" s="14"/>
      <c r="P56" s="14" t="str">
        <f>VLOOKUP($H56,[1]list!A:B,2,0)&amp;"-"&amp;VLOOKUP($I56,[1]list!A:B,2,0)</f>
        <v>TCS-EXT</v>
      </c>
    </row>
    <row r="61" spans="2:16" x14ac:dyDescent="0.35">
      <c r="N61" s="2"/>
    </row>
    <row r="62" spans="2:16" x14ac:dyDescent="0.35">
      <c r="N62" s="2"/>
    </row>
    <row r="63" spans="2:16" x14ac:dyDescent="0.35">
      <c r="N63" s="2"/>
    </row>
    <row r="64" spans="2:16" x14ac:dyDescent="0.35">
      <c r="N64" s="2"/>
    </row>
  </sheetData>
  <autoFilter ref="B2:P56" xr:uid="{9736AB15-2C08-4860-897C-4DBE041EB93C}"/>
  <conditionalFormatting sqref="N3:N5 N7:N14 N16:N17 N21:N26 N39:N43">
    <cfRule type="duplicateValues" dxfId="2" priority="66"/>
  </conditionalFormatting>
  <conditionalFormatting sqref="N44:N48">
    <cfRule type="duplicateValues" dxfId="1" priority="57"/>
  </conditionalFormatting>
  <conditionalFormatting sqref="N49">
    <cfRule type="duplicateValues" dxfId="0" priority="2"/>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5b9b352-377e-4db0-81bf-4e3ceb3eb22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9709B7686F04499881E2594F5DDB21" ma:contentTypeVersion="17" ma:contentTypeDescription="Create a new document." ma:contentTypeScope="" ma:versionID="5bc188ade21e980532aff0c1b9d411cd">
  <xsd:schema xmlns:xsd="http://www.w3.org/2001/XMLSchema" xmlns:xs="http://www.w3.org/2001/XMLSchema" xmlns:p="http://schemas.microsoft.com/office/2006/metadata/properties" xmlns:ns3="75b9b352-377e-4db0-81bf-4e3ceb3eb222" xmlns:ns4="4a70007b-e6dd-4d2d-b013-a190ba4ad4c5" targetNamespace="http://schemas.microsoft.com/office/2006/metadata/properties" ma:root="true" ma:fieldsID="9cddfcf5c4a688b87f54339cefae0675" ns3:_="" ns4:_="">
    <xsd:import namespace="75b9b352-377e-4db0-81bf-4e3ceb3eb222"/>
    <xsd:import namespace="4a70007b-e6dd-4d2d-b013-a190ba4ad4c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b9b352-377e-4db0-81bf-4e3ceb3eb2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0007b-e6dd-4d2d-b013-a190ba4ad4c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07E184-FECB-4425-A5AF-C39CC675D5A6}">
  <ds:schemaRefs>
    <ds:schemaRef ds:uri="http://purl.org/dc/dcmitype/"/>
    <ds:schemaRef ds:uri="http://schemas.microsoft.com/office/infopath/2007/PartnerControls"/>
    <ds:schemaRef ds:uri="http://schemas.openxmlformats.org/package/2006/metadata/core-properties"/>
    <ds:schemaRef ds:uri="4a70007b-e6dd-4d2d-b013-a190ba4ad4c5"/>
    <ds:schemaRef ds:uri="http://purl.org/dc/elements/1.1/"/>
    <ds:schemaRef ds:uri="http://www.w3.org/XML/1998/namespace"/>
    <ds:schemaRef ds:uri="http://schemas.microsoft.com/office/2006/documentManagement/types"/>
    <ds:schemaRef ds:uri="75b9b352-377e-4db0-81bf-4e3ceb3eb222"/>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8A6F1CE-9361-4D95-957C-D5542F63A6E5}">
  <ds:schemaRefs>
    <ds:schemaRef ds:uri="http://schemas.microsoft.com/sharepoint/v3/contenttype/forms"/>
  </ds:schemaRefs>
</ds:datastoreItem>
</file>

<file path=customXml/itemProps3.xml><?xml version="1.0" encoding="utf-8"?>
<ds:datastoreItem xmlns:ds="http://schemas.openxmlformats.org/officeDocument/2006/customXml" ds:itemID="{C31CD492-37F6-4D5D-BDC6-748FD82D81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b9b352-377e-4db0-81bf-4e3ceb3eb222"/>
    <ds:schemaRef ds:uri="4a70007b-e6dd-4d2d-b013-a190ba4ad4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A2A Integrations-Interfaces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vaibhav.swami1@tcs.com</dc:creator>
  <cp:keywords/>
  <dc:description/>
  <cp:lastModifiedBy>Amit Jadhav</cp:lastModifiedBy>
  <cp:revision/>
  <dcterms:created xsi:type="dcterms:W3CDTF">2023-08-04T12:44:47Z</dcterms:created>
  <dcterms:modified xsi:type="dcterms:W3CDTF">2025-10-14T18:38:54Z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0x010100689709B7686F04499881E2594F5DDB21</vt:lpwstr>
  </property>
  <property fmtid="{D5CDD505-2E9C-101B-9397-08002B2CF9AE}" pid="3" name="MediaServiceImageTags">
    <vt:lpwstr/>
  </property>
  <property fmtid="{D5CDD505-2E9C-101B-9397-08002B2CF9AE}" pid="4" name="MSIP_Label_ea60d57e-af5b-4752-ac57-3e4f28ca11dc_Enabled">
    <vt:lpwstr>true</vt:lpwstr>
  </property>
  <property fmtid="{D5CDD505-2E9C-101B-9397-08002B2CF9AE}" pid="5" name="MSIP_Label_ea60d57e-af5b-4752-ac57-3e4f28ca11dc_SetDate">
    <vt:lpwstr>2024-05-30T05:56:11Z</vt:lpwstr>
  </property>
  <property fmtid="{D5CDD505-2E9C-101B-9397-08002B2CF9AE}" pid="6" name="MSIP_Label_ea60d57e-af5b-4752-ac57-3e4f28ca11dc_Method">
    <vt:lpwstr>Standard</vt:lpwstr>
  </property>
  <property fmtid="{D5CDD505-2E9C-101B-9397-08002B2CF9AE}" pid="7" name="MSIP_Label_ea60d57e-af5b-4752-ac57-3e4f28ca11dc_Name">
    <vt:lpwstr>ea60d57e-af5b-4752-ac57-3e4f28ca11dc</vt:lpwstr>
  </property>
  <property fmtid="{D5CDD505-2E9C-101B-9397-08002B2CF9AE}" pid="8" name="MSIP_Label_ea60d57e-af5b-4752-ac57-3e4f28ca11dc_SiteId">
    <vt:lpwstr>36da45f1-dd2c-4d1f-af13-5abe46b99921</vt:lpwstr>
  </property>
  <property fmtid="{D5CDD505-2E9C-101B-9397-08002B2CF9AE}" pid="9" name="MSIP_Label_ea60d57e-af5b-4752-ac57-3e4f28ca11dc_ActionId">
    <vt:lpwstr>93efb40e-f325-4b3f-8391-cab8aad1cf91</vt:lpwstr>
  </property>
  <property fmtid="{D5CDD505-2E9C-101B-9397-08002B2CF9AE}" pid="10" name="MSIP_Label_ea60d57e-af5b-4752-ac57-3e4f28ca11dc_ContentBits">
    <vt:lpwstr>0</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